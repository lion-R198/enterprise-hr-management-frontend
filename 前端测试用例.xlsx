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次校验报告" sheetId="1" state="visible" r:id="rId1"/>
    <sheet xmlns:r="http://schemas.openxmlformats.org/officeDocument/2006/relationships" name="接口清单" sheetId="2" state="visible" r:id="rId2"/>
    <sheet xmlns:r="http://schemas.openxmlformats.org/officeDocument/2006/relationships" name="前端测试用例" sheetId="3" state="visible" r:id="rId3"/>
    <sheet xmlns:r="http://schemas.openxmlformats.org/officeDocument/2006/relationships" name="数据表覆盖校验" sheetId="4" state="visible" r:id="rId4"/>
    <sheet xmlns:r="http://schemas.openxmlformats.org/officeDocument/2006/relationships" name="本地配置数据" sheetId="5" state="visible" r:id="rId5"/>
  </sheets>
  <definedNames>
    <definedName name="_xlnm._FilterDatabase" localSheetId="1" hidden="1">'接口清单'!$A$1:$K$92</definedName>
    <definedName name="_xlnm._FilterDatabase" localSheetId="2" hidden="1">'前端测试用例'!$A$1:$L$114</definedName>
    <definedName name="_xlnm._FilterDatabase" localSheetId="3" hidden="1">'数据表覆盖校验'!$A$1:$G$50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FFFFFFFF"/>
      <sz val="14"/>
    </font>
    <font>
      <color rgb="FF404040"/>
      <sz val="9"/>
    </font>
    <font>
      <color rgb="FF595959"/>
      <sz val="9"/>
    </font>
    <font>
      <b val="1"/>
      <color rgb="FF1F3864"/>
      <sz val="14"/>
    </font>
    <font>
      <b val="1"/>
      <color rgb="FFFFFFFF"/>
      <sz val="12"/>
    </font>
    <font>
      <b val="1"/>
      <sz val="10"/>
    </font>
    <font>
      <b val="1"/>
      <color rgb="FFFFFFFF"/>
      <sz val="10"/>
    </font>
    <font>
      <b val="1"/>
      <color rgb="FFFFFFFF"/>
    </font>
    <font>
      <name val="Consolas"/>
      <sz val="9"/>
    </font>
    <font>
      <color rgb="FF006100"/>
      <sz val="9"/>
    </font>
    <font>
      <name val="Consolas"/>
      <b val="1"/>
      <sz val="9"/>
    </font>
    <font>
      <color rgb="FF9C6500"/>
      <sz val="9"/>
    </font>
  </fonts>
  <fills count="9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1F38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8" fillId="6" borderId="1" pivotButton="0" quotePrefix="0" xfId="0"/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top" wrapText="1"/>
    </xf>
    <xf numFmtId="0" fontId="9" fillId="0" borderId="1" pivotButton="0" quotePrefix="0" xfId="0"/>
    <xf numFmtId="0" fontId="10" fillId="8" borderId="1" applyAlignment="1" pivotButton="0" quotePrefix="0" xfId="0">
      <alignment horizontal="center" vertical="center"/>
    </xf>
    <xf numFmtId="0" fontId="11" fillId="0" borderId="1" pivotButton="0" quotePrefix="0" xfId="0"/>
    <xf numFmtId="0" fontId="12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各业务模块请求地址数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'二次校验报告'!B15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'二次校验报告'!$A$16:$A$27</f>
            </numRef>
          </cat>
          <val>
            <numRef>
              <f>'二次校验报告'!$B$16:$B$27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请求地址数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契约审计</author>
    <author>运行时校验</author>
  </authors>
  <commentList>
    <comment ref="J1" authorId="0" shapeId="0">
      <text>
        <t>已实现＝src/mock 已按同一契约实现；生产环境由 Spring Boot 提供同一路径</t>
      </text>
    </comment>
    <comment ref="K1" authorId="1" shapeId="0">
      <text>
        <t>运行时验证＝由 dev/api-test.html 通过真实请求管线（request.js → mock 分发器）实测的结果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14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38" customWidth="1" min="6" max="6"/>
    <col width="20" customWidth="1" min="7" max="7"/>
    <col width="20" customWidth="1" min="8" max="8"/>
  </cols>
  <sheetData>
    <row r="1" ht="30" customHeight="1">
      <c r="A1" s="1" t="inlineStr">
        <is>
          <t>企业人事管理系统前端 · 请求地址完整性与运行时二次校验报告</t>
        </is>
      </c>
    </row>
    <row r="2">
      <c r="A2" s="2" t="inlineStr">
        <is>
          <t>生成时间：2026/9/15 14:58:28　|　数据源：D:/Workspace/enterprise-hr-management/enterprise_hr_schema.sql　|　通道：mock（VITE_USE_MOCK=true，生产构建为 false）</t>
        </is>
      </c>
    </row>
    <row r="3" ht="20" customHeight="1">
      <c r="A3" s="3" t="inlineStr">
        <is>
          <t>请求地址总数</t>
        </is>
      </c>
      <c r="B3" s="3" t="inlineStr">
        <is>
          <t>已实现（mock）</t>
        </is>
      </c>
      <c r="C3" s="3" t="inlineStr">
        <is>
          <t>建表 SQL 表数</t>
        </is>
      </c>
      <c r="D3" s="3" t="inlineStr">
        <is>
          <t>请求地址已覆盖表数</t>
        </is>
      </c>
      <c r="E3" s="3" t="inlineStr">
        <is>
          <t>运行时用例总数</t>
        </is>
      </c>
      <c r="F3" s="3" t="inlineStr">
        <is>
          <t>用例通过数</t>
        </is>
      </c>
      <c r="G3" s="3" t="inlineStr">
        <is>
          <t>用例通过率</t>
        </is>
      </c>
      <c r="H3" s="3" t="inlineStr">
        <is>
          <t>业务规则拦截断言</t>
        </is>
      </c>
    </row>
    <row r="4" ht="24" customHeight="1">
      <c r="A4" s="4">
        <f>COUNTA(接口清单!E2:E92)</f>
        <v>91.0</v>
      </c>
      <c r="B4" s="4">
        <f>COUNTIF(接口清单!J2:J92,"已实现")</f>
        <v>91.0</v>
      </c>
      <c r="C4" s="4">
        <f>COUNTA(数据表覆盖校验!A2:A50)</f>
        <v>49.0</v>
      </c>
      <c r="D4" s="4">
        <f>COUNTIF(数据表覆盖校验!D2:D50,"已覆盖")</f>
        <v>40.0</v>
      </c>
      <c r="E4" s="4">
        <f>COUNTA(前端测试用例!A2:A114)</f>
        <v>113.0</v>
      </c>
      <c r="F4" s="4">
        <f>COUNTIF(前端测试用例!I2:I114,"是")</f>
        <v>113.0</v>
      </c>
      <c r="G4" s="5">
        <f>IF(OR($E$4="",$E$4=0),"",$F$4/$E$4)</f>
        <v>1.0</v>
      </c>
      <c r="H4" s="4">
        <f>COUNTIF(前端测试用例!J2:J114,"通过（业务规则已拦截）")</f>
        <v>11.0</v>
      </c>
    </row>
    <row r="6">
      <c r="A6" s="6" t="inlineStr">
        <is>
          <t>校验结论</t>
        </is>
      </c>
    </row>
    <row r="7" ht="42" customHeight="1">
      <c r="A7" s="7" t="inlineStr">
        <is>
          <t>校验方式</t>
        </is>
      </c>
      <c r="B7" s="8" t="inlineStr">
        <is>
          <t>三层校验：① 静态契约（src/api 声明 ↔ mock 实现，归一化 ${} 与 :id 后比对）；② 数据表覆盖（建表 SQL 49 张表 → 供给接口 → 使用页面）；③ 运行时实测（无头浏览器跑通全部请求地址，含业务规则断言）。</t>
        </is>
      </c>
    </row>
    <row r="8" ht="42" customHeight="1">
      <c r="A8" s="7" t="inlineStr">
        <is>
          <t>请求地址完整性</t>
        </is>
      </c>
      <c r="B8" s="8" t="inlineStr">
        <is>
          <t>src/api 共声明 91 个请求地址，mock 侧实现 91 条，契约匹配 91 个；悬空调用 0 个、冗余实现 0 个 → 前端功能所需请求地址**完整无缺口**。</t>
        </is>
      </c>
    </row>
    <row r="9" ht="42" customHeight="1">
      <c r="A9" s="7" t="inlineStr">
        <is>
          <t>运行时实测结果</t>
        </is>
      </c>
      <c r="B9" s="8" t="inlineStr">
        <is>
          <t>共执行 113 条端到端用例（覆盖 5 类角色 + 数据范围校验），通过 113 条、失败 0 条，通过率 100.0%；其中 11 条为业务规则/权限拦截断言：越权查看他人档案 403（NF-10 行级隔离）、部门删除保护（BR-03-02）、请假时间重叠（BR-04-01）、考勤未封账禁止核算（BR-05-02）、密码策略（BR-09-01）、管理员自保护（BR-09-02）、内置参数保护、登录口令校验、打卡幂等与前置条件校验。</t>
        </is>
      </c>
    </row>
    <row r="10" ht="42" customHeight="1">
      <c r="A10" s="7" t="inlineStr">
        <is>
          <t>数据表覆盖</t>
        </is>
      </c>
      <c r="B10" s="8" t="inlineStr">
        <is>
          <t>建表 SQL 共 49 张表，被请求地址直接覆盖 40 张，其余 9 张为「前端静态实现 / 联表返回 / 需补接口」，逐表说明见《数据表覆盖校验》。</t>
        </is>
      </c>
    </row>
    <row r="11" ht="42" customHeight="1">
      <c r="A11" s="7" t="inlineStr">
        <is>
          <t>本地配置数据</t>
        </is>
      </c>
      <c r="B11" s="8" t="inlineStr">
        <is>
          <t>允许留在前端的配置共 5 类：业务字典 49 组（与 DB 字段 COMMENT 同源）、系统常量、展示层格式化规则、路由权限矩阵、mock 数据（仅开发环境）。详见《本地配置数据》。</t>
        </is>
      </c>
    </row>
    <row r="12" ht="42" customHeight="1">
      <c r="A12" s="7" t="inlineStr">
        <is>
          <t>实测发现的缺陷（已修复）</t>
        </is>
      </c>
      <c r="B12" s="8" t="inlineStr">
        <is>
          <t>① 侧边栏菜单计算属性漏处理叶子路由 → 全站菜单为空；② mock 分发器未剔除 null 查询参数 → 员工列表被误过滤为 0 条；③ PUT /employees/{id}/status 未解构 user → 转正/离职抛 ReferenceError；④ 新增类接口未返回新记录 id → 创建后无法定位记录（已补 id）；⑤ 演示员工缺少待自评绩效记录 → 员工自评链路无数据。</t>
        </is>
      </c>
    </row>
    <row r="14">
      <c r="A14" s="6" t="inlineStr">
        <is>
          <t>按业务模块统计（公式联动《接口清单》《前端测试用例》）</t>
        </is>
      </c>
    </row>
    <row r="15" ht="26" customHeight="1">
      <c r="A15" s="9" t="inlineStr">
        <is>
          <t>业务模块</t>
        </is>
      </c>
      <c r="B15" s="9" t="inlineStr">
        <is>
          <t>请求地址数</t>
        </is>
      </c>
      <c r="C15" s="9" t="inlineStr">
        <is>
          <t>测试用例数</t>
        </is>
      </c>
      <c r="D15" s="9" t="inlineStr">
        <is>
          <t>用例通过数</t>
        </is>
      </c>
      <c r="E15" s="9" t="inlineStr">
        <is>
          <t>通过率</t>
        </is>
      </c>
    </row>
    <row r="16">
      <c r="A16" s="10" t="inlineStr">
        <is>
          <t>考勤管理</t>
        </is>
      </c>
      <c r="B16" s="11">
        <f>COUNTIF(接口清单!B2:B92,A16)</f>
        <v>16.0</v>
      </c>
      <c r="C16" s="11">
        <f>COUNTIF(前端测试用例!B2:B114,A16)</f>
        <v>17.0</v>
      </c>
      <c r="D16" s="11">
        <f>COUNTIFS(前端测试用例!B2:B114,A16,前端测试用例!I2:I114,"是")</f>
        <v>17.0</v>
      </c>
      <c r="E16" s="12">
        <f>IF(OR(C16="",C16=0),"",D16/C16)</f>
        <v>1.0</v>
      </c>
    </row>
    <row r="17">
      <c r="A17" s="10" t="inlineStr">
        <is>
          <t>认证</t>
        </is>
      </c>
      <c r="B17" s="11">
        <f>COUNTIF(接口清单!B2:B92,A17)</f>
        <v>3.0</v>
      </c>
      <c r="C17" s="11">
        <f>COUNTIF(前端测试用例!B2:B114,A17)</f>
        <v>4.0</v>
      </c>
      <c r="D17" s="11">
        <f>COUNTIFS(前端测试用例!B2:B114,A17,前端测试用例!I2:I114,"是")</f>
        <v>4.0</v>
      </c>
      <c r="E17" s="12">
        <f>IF(OR(C17="",C17=0),"",D17/C17)</f>
        <v>1.0</v>
      </c>
    </row>
    <row r="18">
      <c r="A18" s="10" t="inlineStr">
        <is>
          <t>首页看板</t>
        </is>
      </c>
      <c r="B18" s="11">
        <f>COUNTIF(接口清单!B2:B92,A18)</f>
        <v>5.0</v>
      </c>
      <c r="C18" s="11">
        <f>COUNTIF(前端测试用例!B2:B114,A18)</f>
        <v>5.0</v>
      </c>
      <c r="D18" s="11">
        <f>COUNTIFS(前端测试用例!B2:B114,A18,前端测试用例!I2:I114,"是")</f>
        <v>5.0</v>
      </c>
      <c r="E18" s="12">
        <f>IF(OR(C18="",C18=0),"",D18/C18)</f>
        <v>1.0</v>
      </c>
    </row>
    <row r="19">
      <c r="A19" s="10" t="inlineStr">
        <is>
          <t>部门管理</t>
        </is>
      </c>
      <c r="B19" s="11">
        <f>COUNTIF(接口清单!B2:B92,A19)</f>
        <v>8.0</v>
      </c>
      <c r="C19" s="11">
        <f>COUNTIF(前端测试用例!B2:B114,A19)</f>
        <v>10.0</v>
      </c>
      <c r="D19" s="11">
        <f>COUNTIFS(前端测试用例!B2:B114,A19,前端测试用例!I2:I114,"是")</f>
        <v>10.0</v>
      </c>
      <c r="E19" s="12">
        <f>IF(OR(C19="",C19=0),"",D19/C19)</f>
        <v>1.0</v>
      </c>
    </row>
    <row r="20">
      <c r="A20" s="10" t="inlineStr">
        <is>
          <t>员工档案</t>
        </is>
      </c>
      <c r="B20" s="11">
        <f>COUNTIF(接口清单!B2:B92,A20)</f>
        <v>11.0</v>
      </c>
      <c r="C20" s="11">
        <f>COUNTIF(前端测试用例!B2:B114,A20)</f>
        <v>14.0</v>
      </c>
      <c r="D20" s="11">
        <f>COUNTIFS(前端测试用例!B2:B114,A20,前端测试用例!I2:I114,"是")</f>
        <v>14.0</v>
      </c>
      <c r="E20" s="12">
        <f>IF(OR(C20="",C20=0),"",D20/C20)</f>
        <v>1.0</v>
      </c>
    </row>
    <row r="21">
      <c r="A21" s="10" t="inlineStr">
        <is>
          <t>绩效考核</t>
        </is>
      </c>
      <c r="B21" s="11">
        <f>COUNTIF(接口清单!B2:B92,A21)</f>
        <v>7.0</v>
      </c>
      <c r="C21" s="11">
        <f>COUNTIF(前端测试用例!B2:B114,A21)</f>
        <v>7.0</v>
      </c>
      <c r="D21" s="11">
        <f>COUNTIFS(前端测试用例!B2:B114,A21,前端测试用例!I2:I114,"是")</f>
        <v>7.0</v>
      </c>
      <c r="E21" s="12">
        <f>IF(OR(C21="",C21=0),"",D21/C21)</f>
        <v>1.0</v>
      </c>
    </row>
    <row r="22">
      <c r="A22" s="10" t="inlineStr">
        <is>
          <t>招聘管理</t>
        </is>
      </c>
      <c r="B22" s="11">
        <f>COUNTIF(接口清单!B2:B92,A22)</f>
        <v>11.0</v>
      </c>
      <c r="C22" s="11">
        <f>COUNTIF(前端测试用例!B2:B114,A22)</f>
        <v>11.0</v>
      </c>
      <c r="D22" s="11">
        <f>COUNTIFS(前端测试用例!B2:B114,A22,前端测试用例!I2:I114,"是")</f>
        <v>11.0</v>
      </c>
      <c r="E22" s="12">
        <f>IF(OR(C22="",C22=0),"",D22/C22)</f>
        <v>1.0</v>
      </c>
    </row>
    <row r="23">
      <c r="A23" s="10" t="inlineStr">
        <is>
          <t>薪资管理</t>
        </is>
      </c>
      <c r="B23" s="11">
        <f>COUNTIF(接口清单!B2:B92,A23)</f>
        <v>8.0</v>
      </c>
      <c r="C23" s="11">
        <f>COUNTIF(前端测试用例!B2:B114,A23)</f>
        <v>10.0</v>
      </c>
      <c r="D23" s="11">
        <f>COUNTIFS(前端测试用例!B2:B114,A23,前端测试用例!I2:I114,"是")</f>
        <v>10.0</v>
      </c>
      <c r="E23" s="12">
        <f>IF(OR(C23="",C23=0),"",D23/C23)</f>
        <v>1.0</v>
      </c>
    </row>
    <row r="24">
      <c r="A24" s="10" t="inlineStr">
        <is>
          <t>系统设置</t>
        </is>
      </c>
      <c r="B24" s="11">
        <f>COUNTIF(接口清单!B2:B92,A24)</f>
        <v>14.0</v>
      </c>
      <c r="C24" s="11">
        <f>COUNTIF(前端测试用例!B2:B114,A24)</f>
        <v>17.0</v>
      </c>
      <c r="D24" s="11">
        <f>COUNTIFS(前端测试用例!B2:B114,A24,前端测试用例!I2:I114,"是")</f>
        <v>17.0</v>
      </c>
      <c r="E24" s="12">
        <f>IF(OR(C24="",C24=0),"",D24/C24)</f>
        <v>1.0</v>
      </c>
    </row>
    <row r="25">
      <c r="A25" s="10" t="inlineStr">
        <is>
          <t>通知公告</t>
        </is>
      </c>
      <c r="B25" s="11">
        <f>COUNTIF(接口清单!B2:B92,A25)</f>
        <v>4.0</v>
      </c>
      <c r="C25" s="11">
        <f>COUNTIF(前端测试用例!B2:B114,A25)</f>
        <v>4.0</v>
      </c>
      <c r="D25" s="11">
        <f>COUNTIFS(前端测试用例!B2:B114,A25,前端测试用例!I2:I114,"是")</f>
        <v>4.0</v>
      </c>
      <c r="E25" s="12">
        <f>IF(OR(C25="",C25=0),"",D25/C25)</f>
        <v>1.0</v>
      </c>
    </row>
    <row r="26">
      <c r="A26" s="10" t="inlineStr">
        <is>
          <t>培训管理</t>
        </is>
      </c>
      <c r="B26" s="11">
        <f>COUNTIF(接口清单!B2:B92,A26)</f>
        <v>4.0</v>
      </c>
      <c r="C26" s="11">
        <f>COUNTIF(前端测试用例!B2:B114,A26)</f>
        <v>4.0</v>
      </c>
      <c r="D26" s="11">
        <f>COUNTIFS(前端测试用例!B2:B114,A26,前端测试用例!I2:I114,"是")</f>
        <v>4.0</v>
      </c>
      <c r="E26" s="12">
        <f>IF(OR(C26="",C26=0),"",D26/C26)</f>
        <v>1.0</v>
      </c>
    </row>
    <row r="27">
      <c r="A27" s="10" t="inlineStr">
        <is>
          <t>权限与数据范围</t>
        </is>
      </c>
      <c r="B27" s="11">
        <f>COUNTIF(接口清单!B2:B92,A27)</f>
        <v>0.0</v>
      </c>
      <c r="C27" s="11">
        <f>COUNTIF(前端测试用例!B2:B114,A27)</f>
        <v>10.0</v>
      </c>
      <c r="D27" s="11">
        <f>COUNTIFS(前端测试用例!B2:B114,A27,前端测试用例!I2:I114,"是")</f>
        <v>10.0</v>
      </c>
      <c r="E27" s="12">
        <f>IF(OR(C27="",C27=0),"",D27/C27)</f>
        <v>1.0</v>
      </c>
    </row>
    <row r="28">
      <c r="A28" s="13" t="inlineStr">
        <is>
          <t>合计</t>
        </is>
      </c>
      <c r="B28" s="14">
        <f>SUM(B16:B27)</f>
        <v>91.0</v>
      </c>
      <c r="C28" s="14">
        <f>SUM(C16:C27)</f>
        <v>113.0</v>
      </c>
      <c r="D28" s="14">
        <f>SUM(D16:D27)</f>
        <v>113.0</v>
      </c>
      <c r="E28" s="15">
        <f>IF(OR(C28="",C28=0),"",D28/C28)</f>
        <v>1.0</v>
      </c>
    </row>
    <row r="30">
      <c r="A30" s="6" t="inlineStr">
        <is>
          <t>风险与后续建议</t>
        </is>
      </c>
    </row>
    <row r="31" ht="40" customHeight="1">
      <c r="A31" s="16" t="inlineStr">
        <is>
          <t>需补请求地址（9 张表）</t>
        </is>
      </c>
      <c r="B31" s="8" t="inlineStr">
        <is>
          <t>sys_menu 由前端路由 meta.roles 静态实现；sys_role_menu、employee_attachment、employee_schedule、employee_salary、insurance_config、insurance_record、trainer、job_posting 建议按《数据表覆盖校验》补齐接口后再开工页面。</t>
        </is>
      </c>
    </row>
    <row r="32" ht="40" customHeight="1">
      <c r="A32" s="16" t="inlineStr">
        <is>
          <t>字典数据源双轨</t>
        </is>
      </c>
      <c r="B32" s="8" t="inlineStr">
        <is>
          <t>业务页当前读取前端本地字典（与 DB COMMENT 同源），管理端已具备 /api/sys/dict-types 接口；建议对接后端后统一切换为字典接口下发，避免双轨不一致。</t>
        </is>
      </c>
    </row>
    <row r="33" ht="40" customHeight="1">
      <c r="A33" s="16" t="inlineStr">
        <is>
          <t>数据脱敏</t>
        </is>
      </c>
      <c r="B33" s="8" t="inlineStr">
        <is>
          <t>员工身份证/手机号已在数据层（empVO）脱敏；银行卡号等字段在真实后端 VO 需同步实现，不能仅依赖展示函数。</t>
        </is>
      </c>
    </row>
    <row r="34" ht="40" customHeight="1">
      <c r="A34" s="16" t="inlineStr">
        <is>
          <t>权限矩阵</t>
        </is>
      </c>
      <c r="B34" s="8" t="inlineStr">
        <is>
          <t>meta.roles 与需求 2.5 一致，运行时已验证 emp01 越权查看他人档案返回 403、主管仅见本部门数据；对接真实后端后需回归同一组用例（本表可直接复用）。</t>
        </is>
      </c>
    </row>
  </sheetData>
  <mergeCells count="15">
    <mergeCell ref="A30:E30"/>
    <mergeCell ref="B31:E31"/>
    <mergeCell ref="B8:H8"/>
    <mergeCell ref="B9:H9"/>
    <mergeCell ref="A14:E14"/>
    <mergeCell ref="A2:H2"/>
    <mergeCell ref="B34:E34"/>
    <mergeCell ref="B12:H12"/>
    <mergeCell ref="B33:E33"/>
    <mergeCell ref="B7:H7"/>
    <mergeCell ref="A1:H1"/>
    <mergeCell ref="B10:H10"/>
    <mergeCell ref="B11:H11"/>
    <mergeCell ref="A6:H6"/>
    <mergeCell ref="B32:E3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K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0" customWidth="1" min="4" max="4"/>
    <col width="34" customWidth="1" min="5" max="5"/>
    <col width="16" customWidth="1" min="6" max="6"/>
    <col width="40" customWidth="1" min="7" max="7"/>
    <col width="34" customWidth="1" min="8" max="8"/>
    <col width="18" customWidth="1" min="9" max="9"/>
    <col width="11" customWidth="1" min="10" max="10"/>
    <col width="11" customWidth="1" min="11" max="11"/>
  </cols>
  <sheetData>
    <row r="1" ht="26" customHeight="1">
      <c r="A1" s="9" t="inlineStr">
        <is>
          <t>序号</t>
        </is>
      </c>
      <c r="B1" s="9" t="inlineStr">
        <is>
          <t>业务模块</t>
        </is>
      </c>
      <c r="C1" s="9" t="inlineStr">
        <is>
          <t>接口用途</t>
        </is>
      </c>
      <c r="D1" s="9" t="inlineStr">
        <is>
          <t>请求方法</t>
        </is>
      </c>
      <c r="E1" s="9" t="inlineStr">
        <is>
          <t>请求地址</t>
        </is>
      </c>
      <c r="F1" s="9" t="inlineStr">
        <is>
          <t>请求参数</t>
        </is>
      </c>
      <c r="G1" s="9" t="inlineStr">
        <is>
          <t>对应数据表</t>
        </is>
      </c>
      <c r="H1" s="9" t="inlineStr">
        <is>
          <t>使用页面</t>
        </is>
      </c>
      <c r="I1" s="9" t="inlineStr">
        <is>
          <t>涉及角色</t>
        </is>
      </c>
      <c r="J1" s="9" t="inlineStr">
        <is>
          <t>实现状态</t>
        </is>
      </c>
      <c r="K1" s="9" t="inlineStr">
        <is>
          <t>运行时验证</t>
        </is>
      </c>
    </row>
    <row r="2">
      <c r="A2" s="11" t="n">
        <v>1</v>
      </c>
      <c r="B2" s="10" t="inlineStr">
        <is>
          <t>考勤管理</t>
        </is>
      </c>
      <c r="C2" s="8" t="inlineStr">
        <is>
          <t>今日考勤状态（F-04-01）：GET /api/attendance/today</t>
        </is>
      </c>
      <c r="D2" s="11" t="inlineStr">
        <is>
          <t>GET</t>
        </is>
      </c>
      <c r="E2" s="17" t="inlineStr">
        <is>
          <t>/api/attendance/today</t>
        </is>
      </c>
      <c r="F2" s="10" t="inlineStr">
        <is>
          <t>—</t>
        </is>
      </c>
      <c r="G2" s="8" t="inlineStr">
        <is>
          <t>attendance_record、shift</t>
        </is>
      </c>
      <c r="H2" s="8" t="inlineStr">
        <is>
          <t>打卡签到 /attendance/checkin</t>
        </is>
      </c>
      <c r="I2" s="10" t="inlineStr">
        <is>
          <t>人事专员、普通员工</t>
        </is>
      </c>
      <c r="J2" s="11" t="inlineStr">
        <is>
          <t>已实现</t>
        </is>
      </c>
      <c r="K2" s="18" t="inlineStr">
        <is>
          <t>通过</t>
        </is>
      </c>
    </row>
    <row r="3">
      <c r="A3" s="11" t="n">
        <v>2</v>
      </c>
      <c r="B3" s="10" t="inlineStr">
        <is>
          <t>考勤管理</t>
        </is>
      </c>
      <c r="C3" s="8" t="inlineStr">
        <is>
          <t>上班打卡：POST /api/attendance/checkin</t>
        </is>
      </c>
      <c r="D3" s="11" t="inlineStr">
        <is>
          <t>POST</t>
        </is>
      </c>
      <c r="E3" s="17" t="inlineStr">
        <is>
          <t>/api/attendance/checkin</t>
        </is>
      </c>
      <c r="F3" s="10" t="inlineStr">
        <is>
          <t>—</t>
        </is>
      </c>
      <c r="G3" s="8" t="inlineStr">
        <is>
          <t>attendance_record、shift</t>
        </is>
      </c>
      <c r="H3" s="8" t="inlineStr">
        <is>
          <t>打卡签到 /attendance/checkin</t>
        </is>
      </c>
      <c r="I3" s="10" t="inlineStr">
        <is>
          <t>人事专员</t>
        </is>
      </c>
      <c r="J3" s="11" t="inlineStr">
        <is>
          <t>已实现</t>
        </is>
      </c>
      <c r="K3" s="18" t="inlineStr">
        <is>
          <t>通过</t>
        </is>
      </c>
    </row>
    <row r="4">
      <c r="A4" s="11" t="n">
        <v>3</v>
      </c>
      <c r="B4" s="10" t="inlineStr">
        <is>
          <t>考勤管理</t>
        </is>
      </c>
      <c r="C4" s="8" t="inlineStr">
        <is>
          <t>下班打卡：POST /api/attendance/checkout</t>
        </is>
      </c>
      <c r="D4" s="11" t="inlineStr">
        <is>
          <t>POST</t>
        </is>
      </c>
      <c r="E4" s="17" t="inlineStr">
        <is>
          <t>/api/attendance/checkout</t>
        </is>
      </c>
      <c r="F4" s="10" t="inlineStr">
        <is>
          <t>—</t>
        </is>
      </c>
      <c r="G4" s="8" t="inlineStr">
        <is>
          <t>attendance_record、shift</t>
        </is>
      </c>
      <c r="H4" s="8" t="inlineStr">
        <is>
          <t>打卡签到 /attendance/checkin</t>
        </is>
      </c>
      <c r="I4" s="10" t="inlineStr">
        <is>
          <t>人事专员</t>
        </is>
      </c>
      <c r="J4" s="11" t="inlineStr">
        <is>
          <t>已实现</t>
        </is>
      </c>
      <c r="K4" s="18" t="inlineStr">
        <is>
          <t>通过</t>
        </is>
      </c>
    </row>
    <row r="5">
      <c r="A5" s="11" t="n">
        <v>4</v>
      </c>
      <c r="B5" s="10" t="inlineStr">
        <is>
          <t>考勤管理</t>
        </is>
      </c>
      <c r="C5" s="8" t="inlineStr">
        <is>
          <t>我的打卡记录：GET /api/attendance/records</t>
        </is>
      </c>
      <c r="D5" s="11" t="inlineStr">
        <is>
          <t>GET</t>
        </is>
      </c>
      <c r="E5" s="17" t="inlineStr">
        <is>
          <t>/api/attendance/records</t>
        </is>
      </c>
      <c r="F5" s="10" t="inlineStr">
        <is>
          <t>params</t>
        </is>
      </c>
      <c r="G5" s="8" t="inlineStr">
        <is>
          <t>attendance_record、shift</t>
        </is>
      </c>
      <c r="H5" s="8" t="inlineStr">
        <is>
          <t>考勤统计 /attendance/monthly</t>
        </is>
      </c>
      <c r="I5" s="10" t="inlineStr">
        <is>
          <t>人事专员、部门主管</t>
        </is>
      </c>
      <c r="J5" s="11" t="inlineStr">
        <is>
          <t>已实现</t>
        </is>
      </c>
      <c r="K5" s="18" t="inlineStr">
        <is>
          <t>通过</t>
        </is>
      </c>
    </row>
    <row r="6">
      <c r="A6" s="11" t="n">
        <v>5</v>
      </c>
      <c r="B6" s="10" t="inlineStr">
        <is>
          <t>考勤管理</t>
        </is>
      </c>
      <c r="C6" s="8" t="inlineStr">
        <is>
          <t>请假分页（F-04-02）：GET /api/leave-requests/page</t>
        </is>
      </c>
      <c r="D6" s="11" t="inlineStr">
        <is>
          <t>GET</t>
        </is>
      </c>
      <c r="E6" s="17" t="inlineStr">
        <is>
          <t>/api/leave-requests/page</t>
        </is>
      </c>
      <c r="F6" s="10" t="inlineStr">
        <is>
          <t>params</t>
        </is>
      </c>
      <c r="G6" s="8" t="inlineStr">
        <is>
          <t>leave_request、leave_type、employee、dept</t>
        </is>
      </c>
      <c r="H6" s="8" t="inlineStr">
        <is>
          <t>请假申请 /attendance/leave</t>
        </is>
      </c>
      <c r="I6" s="10" t="inlineStr">
        <is>
          <t>人事专员、普通员工</t>
        </is>
      </c>
      <c r="J6" s="11" t="inlineStr">
        <is>
          <t>已实现</t>
        </is>
      </c>
      <c r="K6" s="18" t="inlineStr">
        <is>
          <t>通过</t>
        </is>
      </c>
    </row>
    <row r="7">
      <c r="A7" s="11" t="n">
        <v>6</v>
      </c>
      <c r="B7" s="10" t="inlineStr">
        <is>
          <t>考勤管理</t>
        </is>
      </c>
      <c r="C7" s="8" t="inlineStr">
        <is>
          <t>提交请假（BR-04-01 时间重叠校验在服务端）：POST /api/leave-requests</t>
        </is>
      </c>
      <c r="D7" s="11" t="inlineStr">
        <is>
          <t>POST</t>
        </is>
      </c>
      <c r="E7" s="17" t="inlineStr">
        <is>
          <t>/api/leave-requests</t>
        </is>
      </c>
      <c r="F7" s="10" t="inlineStr">
        <is>
          <t>data</t>
        </is>
      </c>
      <c r="G7" s="8" t="inlineStr">
        <is>
          <t>leave_request、leave_balance、leave_type、todo_task、approval_record</t>
        </is>
      </c>
      <c r="H7" s="8" t="inlineStr">
        <is>
          <t>请假申请 /attendance/leave</t>
        </is>
      </c>
      <c r="I7" s="10" t="inlineStr">
        <is>
          <t>人事专员</t>
        </is>
      </c>
      <c r="J7" s="11" t="inlineStr">
        <is>
          <t>已实现</t>
        </is>
      </c>
      <c r="K7" s="18" t="inlineStr">
        <is>
          <t>通过</t>
        </is>
      </c>
    </row>
    <row r="8">
      <c r="A8" s="11" t="n">
        <v>7</v>
      </c>
      <c r="B8" s="10" t="inlineStr">
        <is>
          <t>考勤管理</t>
        </is>
      </c>
      <c r="C8" s="8" t="inlineStr">
        <is>
          <t>请假审批（直属主管→人事 审批链）：PUT /api/leave-requests/{id}/approve</t>
        </is>
      </c>
      <c r="D8" s="11" t="inlineStr">
        <is>
          <t>PUT</t>
        </is>
      </c>
      <c r="E8" s="17" t="inlineStr">
        <is>
          <t>/api/leave-requests/${id}/approve</t>
        </is>
      </c>
      <c r="F8" s="10" t="inlineStr">
        <is>
          <t>id, data</t>
        </is>
      </c>
      <c r="G8" s="8" t="inlineStr">
        <is>
          <t>leave_request、approval_record、todo_task</t>
        </is>
      </c>
      <c r="H8" s="8" t="inlineStr">
        <is>
          <t>请假申请 /attendance/leave</t>
        </is>
      </c>
      <c r="I8" s="10" t="inlineStr">
        <is>
          <t>人事专员</t>
        </is>
      </c>
      <c r="J8" s="11" t="inlineStr">
        <is>
          <t>已实现</t>
        </is>
      </c>
      <c r="K8" s="18" t="inlineStr">
        <is>
          <t>通过</t>
        </is>
      </c>
    </row>
    <row r="9">
      <c r="A9" s="11" t="n">
        <v>8</v>
      </c>
      <c r="B9" s="10" t="inlineStr">
        <is>
          <t>考勤管理</t>
        </is>
      </c>
      <c r="C9" s="8" t="inlineStr">
        <is>
          <t>我的假期余额（BR-04-02）：GET /api/leave-balances/my</t>
        </is>
      </c>
      <c r="D9" s="11" t="inlineStr">
        <is>
          <t>GET</t>
        </is>
      </c>
      <c r="E9" s="17" t="inlineStr">
        <is>
          <t>/api/leave-balances/my</t>
        </is>
      </c>
      <c r="F9" s="10" t="inlineStr">
        <is>
          <t>—</t>
        </is>
      </c>
      <c r="G9" s="8" t="inlineStr">
        <is>
          <t>leave_balance、leave_type</t>
        </is>
      </c>
      <c r="H9" s="8" t="inlineStr">
        <is>
          <t>请假申请 /attendance/leave</t>
        </is>
      </c>
      <c r="I9" s="10" t="inlineStr">
        <is>
          <t>人事专员</t>
        </is>
      </c>
      <c r="J9" s="11" t="inlineStr">
        <is>
          <t>已实现</t>
        </is>
      </c>
      <c r="K9" s="18" t="inlineStr">
        <is>
          <t>通过</t>
        </is>
      </c>
    </row>
    <row r="10">
      <c r="A10" s="11" t="n">
        <v>9</v>
      </c>
      <c r="B10" s="10" t="inlineStr">
        <is>
          <t>考勤管理</t>
        </is>
      </c>
      <c r="C10" s="8" t="inlineStr">
        <is>
          <t>加班分页（F-04-03）：GET /api/overtime-requests/page</t>
        </is>
      </c>
      <c r="D10" s="11" t="inlineStr">
        <is>
          <t>GET</t>
        </is>
      </c>
      <c r="E10" s="17" t="inlineStr">
        <is>
          <t>/api/overtime-requests/page</t>
        </is>
      </c>
      <c r="F10" s="10" t="inlineStr">
        <is>
          <t>params</t>
        </is>
      </c>
      <c r="G10" s="8" t="inlineStr">
        <is>
          <t>overtime_request、employee、dept</t>
        </is>
      </c>
      <c r="H10" s="8" t="inlineStr">
        <is>
          <t>加班申请 /attendance/overtime</t>
        </is>
      </c>
      <c r="I10" s="10" t="inlineStr">
        <is>
          <t>人事专员</t>
        </is>
      </c>
      <c r="J10" s="11" t="inlineStr">
        <is>
          <t>已实现</t>
        </is>
      </c>
      <c r="K10" s="18" t="inlineStr">
        <is>
          <t>通过</t>
        </is>
      </c>
    </row>
    <row r="11">
      <c r="A11" s="11" t="n">
        <v>10</v>
      </c>
      <c r="B11" s="10" t="inlineStr">
        <is>
          <t>考勤管理</t>
        </is>
      </c>
      <c r="C11" s="8" t="inlineStr">
        <is>
          <t>提交加班：POST /api/overtime-requests</t>
        </is>
      </c>
      <c r="D11" s="11" t="inlineStr">
        <is>
          <t>POST</t>
        </is>
      </c>
      <c r="E11" s="17" t="inlineStr">
        <is>
          <t>/api/overtime-requests</t>
        </is>
      </c>
      <c r="F11" s="10" t="inlineStr">
        <is>
          <t>data</t>
        </is>
      </c>
      <c r="G11" s="8" t="inlineStr">
        <is>
          <t>overtime_request、todo_task</t>
        </is>
      </c>
      <c r="H11" s="8" t="inlineStr">
        <is>
          <t>加班申请 /attendance/overtime</t>
        </is>
      </c>
      <c r="I11" s="10" t="inlineStr">
        <is>
          <t>人事专员</t>
        </is>
      </c>
      <c r="J11" s="11" t="inlineStr">
        <is>
          <t>已实现</t>
        </is>
      </c>
      <c r="K11" s="18" t="inlineStr">
        <is>
          <t>通过</t>
        </is>
      </c>
    </row>
    <row r="12">
      <c r="A12" s="11" t="n">
        <v>11</v>
      </c>
      <c r="B12" s="10" t="inlineStr">
        <is>
          <t>考勤管理</t>
        </is>
      </c>
      <c r="C12" s="8" t="inlineStr">
        <is>
          <t>加班审批：PUT /api/overtime-requests/{id}/approve</t>
        </is>
      </c>
      <c r="D12" s="11" t="inlineStr">
        <is>
          <t>PUT</t>
        </is>
      </c>
      <c r="E12" s="17" t="inlineStr">
        <is>
          <t>/api/overtime-requests/${id}/approve</t>
        </is>
      </c>
      <c r="F12" s="10" t="inlineStr">
        <is>
          <t>id, data</t>
        </is>
      </c>
      <c r="G12" s="8" t="inlineStr">
        <is>
          <t>overtime_request、approval_record</t>
        </is>
      </c>
      <c r="H12" s="8" t="inlineStr">
        <is>
          <t>加班申请 /attendance/overtime</t>
        </is>
      </c>
      <c r="I12" s="10" t="inlineStr">
        <is>
          <t>人事专员</t>
        </is>
      </c>
      <c r="J12" s="11" t="inlineStr">
        <is>
          <t>已实现</t>
        </is>
      </c>
      <c r="K12" s="18" t="inlineStr">
        <is>
          <t>通过</t>
        </is>
      </c>
    </row>
    <row r="13">
      <c r="A13" s="11" t="n">
        <v>12</v>
      </c>
      <c r="B13" s="10" t="inlineStr">
        <is>
          <t>考勤管理</t>
        </is>
      </c>
      <c r="C13" s="8" t="inlineStr">
        <is>
          <t>出差分页（F-04-04）：GET /api/business-trips/page</t>
        </is>
      </c>
      <c r="D13" s="11" t="inlineStr">
        <is>
          <t>GET</t>
        </is>
      </c>
      <c r="E13" s="17" t="inlineStr">
        <is>
          <t>/api/business-trips/page</t>
        </is>
      </c>
      <c r="F13" s="10" t="inlineStr">
        <is>
          <t>params</t>
        </is>
      </c>
      <c r="G13" s="8" t="inlineStr">
        <is>
          <t>business_trip、employee、dept</t>
        </is>
      </c>
      <c r="H13" s="8" t="inlineStr">
        <is>
          <t>出差管理 /attendance/trip</t>
        </is>
      </c>
      <c r="I13" s="10" t="inlineStr">
        <is>
          <t>人事专员</t>
        </is>
      </c>
      <c r="J13" s="11" t="inlineStr">
        <is>
          <t>已实现</t>
        </is>
      </c>
      <c r="K13" s="18" t="inlineStr">
        <is>
          <t>通过</t>
        </is>
      </c>
    </row>
    <row r="14">
      <c r="A14" s="11" t="n">
        <v>13</v>
      </c>
      <c r="B14" s="10" t="inlineStr">
        <is>
          <t>考勤管理</t>
        </is>
      </c>
      <c r="C14" s="8" t="inlineStr">
        <is>
          <t>提交出差：POST /api/business-trips</t>
        </is>
      </c>
      <c r="D14" s="11" t="inlineStr">
        <is>
          <t>POST</t>
        </is>
      </c>
      <c r="E14" s="17" t="inlineStr">
        <is>
          <t>/api/business-trips</t>
        </is>
      </c>
      <c r="F14" s="10" t="inlineStr">
        <is>
          <t>data</t>
        </is>
      </c>
      <c r="G14" s="8" t="inlineStr">
        <is>
          <t>business_trip、todo_task</t>
        </is>
      </c>
      <c r="H14" s="8" t="inlineStr">
        <is>
          <t>出差管理 /attendance/trip</t>
        </is>
      </c>
      <c r="I14" s="10" t="inlineStr">
        <is>
          <t>人事专员</t>
        </is>
      </c>
      <c r="J14" s="11" t="inlineStr">
        <is>
          <t>已实现</t>
        </is>
      </c>
      <c r="K14" s="18" t="inlineStr">
        <is>
          <t>通过</t>
        </is>
      </c>
    </row>
    <row r="15">
      <c r="A15" s="11" t="n">
        <v>14</v>
      </c>
      <c r="B15" s="10" t="inlineStr">
        <is>
          <t>考勤管理</t>
        </is>
      </c>
      <c r="C15" s="8" t="inlineStr">
        <is>
          <t>出差审批：PUT /api/business-trips/{id}/approve</t>
        </is>
      </c>
      <c r="D15" s="11" t="inlineStr">
        <is>
          <t>PUT</t>
        </is>
      </c>
      <c r="E15" s="17" t="inlineStr">
        <is>
          <t>/api/business-trips/${id}/approve</t>
        </is>
      </c>
      <c r="F15" s="10" t="inlineStr">
        <is>
          <t>id, data</t>
        </is>
      </c>
      <c r="G15" s="8" t="inlineStr">
        <is>
          <t>business_trip、approval_record</t>
        </is>
      </c>
      <c r="H15" s="8" t="inlineStr">
        <is>
          <t>出差管理 /attendance/trip</t>
        </is>
      </c>
      <c r="I15" s="10" t="inlineStr">
        <is>
          <t>人事专员</t>
        </is>
      </c>
      <c r="J15" s="11" t="inlineStr">
        <is>
          <t>已实现</t>
        </is>
      </c>
      <c r="K15" s="18" t="inlineStr">
        <is>
          <t>通过</t>
        </is>
      </c>
    </row>
    <row r="16">
      <c r="A16" s="11" t="n">
        <v>15</v>
      </c>
      <c r="B16" s="10" t="inlineStr">
        <is>
          <t>考勤管理</t>
        </is>
      </c>
      <c r="C16" s="8" t="inlineStr">
        <is>
          <t>考勤月报分页（F-04-06）：GET /api/attendance-months/page</t>
        </is>
      </c>
      <c r="D16" s="11" t="inlineStr">
        <is>
          <t>GET</t>
        </is>
      </c>
      <c r="E16" s="17" t="inlineStr">
        <is>
          <t>/api/attendance-months/page</t>
        </is>
      </c>
      <c r="F16" s="10" t="inlineStr">
        <is>
          <t>params</t>
        </is>
      </c>
      <c r="G16" s="8" t="inlineStr">
        <is>
          <t>attendance_month、employee</t>
        </is>
      </c>
      <c r="H16" s="8" t="inlineStr">
        <is>
          <t>考勤统计 /attendance/monthly</t>
        </is>
      </c>
      <c r="I16" s="10" t="inlineStr">
        <is>
          <t>人事专员</t>
        </is>
      </c>
      <c r="J16" s="11" t="inlineStr">
        <is>
          <t>已实现</t>
        </is>
      </c>
      <c r="K16" s="18" t="inlineStr">
        <is>
          <t>通过</t>
        </is>
      </c>
    </row>
    <row r="17">
      <c r="A17" s="11" t="n">
        <v>16</v>
      </c>
      <c r="B17" s="10" t="inlineStr">
        <is>
          <t>考勤管理</t>
        </is>
      </c>
      <c r="C17" s="8" t="inlineStr">
        <is>
          <t>封账（BR-04-03 封账后禁改）：PUT /api/attendance-months/{id}/lock</t>
        </is>
      </c>
      <c r="D17" s="11" t="inlineStr">
        <is>
          <t>PUT</t>
        </is>
      </c>
      <c r="E17" s="17" t="inlineStr">
        <is>
          <t>/api/attendance-months/${id}/lock</t>
        </is>
      </c>
      <c r="F17" s="10" t="inlineStr">
        <is>
          <t>id</t>
        </is>
      </c>
      <c r="G17" s="8" t="inlineStr">
        <is>
          <t>attendance_month</t>
        </is>
      </c>
      <c r="H17" s="8" t="inlineStr">
        <is>
          <t>考勤统计 /attendance/monthly</t>
        </is>
      </c>
      <c r="I17" s="10" t="inlineStr">
        <is>
          <t>人事专员</t>
        </is>
      </c>
      <c r="J17" s="11" t="inlineStr">
        <is>
          <t>已实现</t>
        </is>
      </c>
      <c r="K17" s="18" t="inlineStr">
        <is>
          <t>通过</t>
        </is>
      </c>
    </row>
    <row r="18">
      <c r="A18" s="11" t="n">
        <v>17</v>
      </c>
      <c r="B18" s="10" t="inlineStr">
        <is>
          <t>认证</t>
        </is>
      </c>
      <c r="C18" s="8" t="inlineStr">
        <is>
          <t>登录：POST /api/auth/login</t>
        </is>
      </c>
      <c r="D18" s="11" t="inlineStr">
        <is>
          <t>POST</t>
        </is>
      </c>
      <c r="E18" s="17" t="inlineStr">
        <is>
          <t>/api/auth/login</t>
        </is>
      </c>
      <c r="F18" s="10" t="inlineStr">
        <is>
          <t>data</t>
        </is>
      </c>
      <c r="G18" s="8" t="inlineStr">
        <is>
          <t>sys_user、sys_user_role、sys_role、sys_login_log</t>
        </is>
      </c>
      <c r="H18" s="8" t="inlineStr">
        <is>
          <t>登录页 /login</t>
        </is>
      </c>
      <c r="I18" s="10" t="inlineStr">
        <is>
          <t>未登录、人事专员</t>
        </is>
      </c>
      <c r="J18" s="11" t="inlineStr">
        <is>
          <t>已实现</t>
        </is>
      </c>
      <c r="K18" s="18" t="inlineStr">
        <is>
          <t>通过</t>
        </is>
      </c>
    </row>
    <row r="19">
      <c r="A19" s="11" t="n">
        <v>18</v>
      </c>
      <c r="B19" s="10" t="inlineStr">
        <is>
          <t>认证</t>
        </is>
      </c>
      <c r="C19" s="8" t="inlineStr">
        <is>
          <t>当前用户信息：GET /api/auth/me</t>
        </is>
      </c>
      <c r="D19" s="11" t="inlineStr">
        <is>
          <t>GET</t>
        </is>
      </c>
      <c r="E19" s="17" t="inlineStr">
        <is>
          <t>/api/auth/me</t>
        </is>
      </c>
      <c r="F19" s="10" t="inlineStr">
        <is>
          <t>—</t>
        </is>
      </c>
      <c r="G19" s="8" t="inlineStr">
        <is>
          <t>sys_user、sys_user_role、sys_role、employee</t>
        </is>
      </c>
      <c r="H19" s="8" t="inlineStr">
        <is>
          <t>守卫 permission.js</t>
        </is>
      </c>
      <c r="I19" s="10" t="inlineStr">
        <is>
          <t>人事专员</t>
        </is>
      </c>
      <c r="J19" s="11" t="inlineStr">
        <is>
          <t>已实现</t>
        </is>
      </c>
      <c r="K19" s="18" t="inlineStr">
        <is>
          <t>通过</t>
        </is>
      </c>
    </row>
    <row r="20">
      <c r="A20" s="11" t="n">
        <v>19</v>
      </c>
      <c r="B20" s="10" t="inlineStr">
        <is>
          <t>认证</t>
        </is>
      </c>
      <c r="C20" s="8" t="inlineStr">
        <is>
          <t>退出登录：POST /api/auth/logout</t>
        </is>
      </c>
      <c r="D20" s="11" t="inlineStr">
        <is>
          <t>POST</t>
        </is>
      </c>
      <c r="E20" s="17" t="inlineStr">
        <is>
          <t>/api/auth/logout</t>
        </is>
      </c>
      <c r="F20" s="10" t="inlineStr">
        <is>
          <t>—</t>
        </is>
      </c>
      <c r="G20" s="8" t="inlineStr">
        <is>
          <t>sys_login_log</t>
        </is>
      </c>
      <c r="H20" s="8" t="inlineStr">
        <is>
          <t>布局退出登录</t>
        </is>
      </c>
      <c r="I20" s="10" t="inlineStr">
        <is>
          <t>系统管理员</t>
        </is>
      </c>
      <c r="J20" s="11" t="inlineStr">
        <is>
          <t>已实现</t>
        </is>
      </c>
      <c r="K20" s="18" t="inlineStr">
        <is>
          <t>通过</t>
        </is>
      </c>
    </row>
    <row r="21">
      <c r="A21" s="11" t="n">
        <v>20</v>
      </c>
      <c r="B21" s="10" t="inlineStr">
        <is>
          <t>首页看板</t>
        </is>
      </c>
      <c r="C21" s="8" t="inlineStr">
        <is>
          <t>首页指标卡（按角色数据范围过滤 BR-01-01）：GET /api/dashboard/summary</t>
        </is>
      </c>
      <c r="D21" s="11" t="inlineStr">
        <is>
          <t>GET</t>
        </is>
      </c>
      <c r="E21" s="17" t="inlineStr">
        <is>
          <t>/api/dashboard/summary</t>
        </is>
      </c>
      <c r="F21" s="10" t="inlineStr">
        <is>
          <t>—</t>
        </is>
      </c>
      <c r="G21" s="8" t="inlineStr">
        <is>
          <t>employee、dept、attendance_record、todo_task、employee_contract</t>
        </is>
      </c>
      <c r="H21" s="8" t="inlineStr">
        <is>
          <t>首页 /dashboard</t>
        </is>
      </c>
      <c r="I21" s="10" t="inlineStr">
        <is>
          <t>人事专员、部门主管</t>
        </is>
      </c>
      <c r="J21" s="11" t="inlineStr">
        <is>
          <t>已实现</t>
        </is>
      </c>
      <c r="K21" s="18" t="inlineStr">
        <is>
          <t>通过</t>
        </is>
      </c>
    </row>
    <row r="22">
      <c r="A22" s="11" t="n">
        <v>21</v>
      </c>
      <c r="B22" s="10" t="inlineStr">
        <is>
          <t>首页看板</t>
        </is>
      </c>
      <c r="C22" s="8" t="inlineStr">
        <is>
          <t>待办事项（F-01-02）：GET /api/dashboard/todos</t>
        </is>
      </c>
      <c r="D22" s="11" t="inlineStr">
        <is>
          <t>GET</t>
        </is>
      </c>
      <c r="E22" s="17" t="inlineStr">
        <is>
          <t>/api/dashboard/todos</t>
        </is>
      </c>
      <c r="F22" s="10" t="inlineStr">
        <is>
          <t>—</t>
        </is>
      </c>
      <c r="G22" s="8" t="inlineStr">
        <is>
          <t>todo_task</t>
        </is>
      </c>
      <c r="H22" s="8" t="inlineStr">
        <is>
          <t>首页 /dashboard</t>
        </is>
      </c>
      <c r="I22" s="10" t="inlineStr">
        <is>
          <t>人事专员</t>
        </is>
      </c>
      <c r="J22" s="11" t="inlineStr">
        <is>
          <t>已实现</t>
        </is>
      </c>
      <c r="K22" s="18" t="inlineStr">
        <is>
          <t>通过</t>
        </is>
      </c>
    </row>
    <row r="23">
      <c r="A23" s="11" t="n">
        <v>22</v>
      </c>
      <c r="B23" s="10" t="inlineStr">
        <is>
          <t>首页看板</t>
        </is>
      </c>
      <c r="C23" s="8" t="inlineStr">
        <is>
          <t>通知公告（F-01-03）：GET /api/dashboard/notices</t>
        </is>
      </c>
      <c r="D23" s="11" t="inlineStr">
        <is>
          <t>GET</t>
        </is>
      </c>
      <c r="E23" s="17" t="inlineStr">
        <is>
          <t>/api/dashboard/notices</t>
        </is>
      </c>
      <c r="F23" s="10" t="inlineStr">
        <is>
          <t>—</t>
        </is>
      </c>
      <c r="G23" s="8" t="inlineStr">
        <is>
          <t>notice、notice_read</t>
        </is>
      </c>
      <c r="H23" s="8" t="inlineStr">
        <is>
          <t>首页 /dashboard</t>
        </is>
      </c>
      <c r="I23" s="10" t="inlineStr">
        <is>
          <t>人事专员</t>
        </is>
      </c>
      <c r="J23" s="11" t="inlineStr">
        <is>
          <t>已实现</t>
        </is>
      </c>
      <c r="K23" s="18" t="inlineStr">
        <is>
          <t>通过</t>
        </is>
      </c>
    </row>
    <row r="24">
      <c r="A24" s="11" t="n">
        <v>23</v>
      </c>
      <c r="B24" s="10" t="inlineStr">
        <is>
          <t>首页看板</t>
        </is>
      </c>
      <c r="C24" s="8" t="inlineStr">
        <is>
          <t>图表分析（F-01-04）：GET /api/dashboard/charts</t>
        </is>
      </c>
      <c r="D24" s="11" t="inlineStr">
        <is>
          <t>GET</t>
        </is>
      </c>
      <c r="E24" s="17" t="inlineStr">
        <is>
          <t>/api/dashboard/charts</t>
        </is>
      </c>
      <c r="F24" s="10" t="inlineStr">
        <is>
          <t>—</t>
        </is>
      </c>
      <c r="G24" s="8" t="inlineStr">
        <is>
          <t>employee、dept</t>
        </is>
      </c>
      <c r="H24" s="8" t="inlineStr">
        <is>
          <t>首页 /dashboard</t>
        </is>
      </c>
      <c r="I24" s="10" t="inlineStr">
        <is>
          <t>人事专员</t>
        </is>
      </c>
      <c r="J24" s="11" t="inlineStr">
        <is>
          <t>已实现</t>
        </is>
      </c>
      <c r="K24" s="18" t="inlineStr">
        <is>
          <t>通过</t>
        </is>
      </c>
    </row>
    <row r="25">
      <c r="A25" s="11" t="n">
        <v>24</v>
      </c>
      <c r="B25" s="10" t="inlineStr">
        <is>
          <t>首页看板</t>
        </is>
      </c>
      <c r="C25" s="8" t="inlineStr">
        <is>
          <t>处理待办：PUT /api/dashboard/todos/{id}/handle</t>
        </is>
      </c>
      <c r="D25" s="11" t="inlineStr">
        <is>
          <t>PUT</t>
        </is>
      </c>
      <c r="E25" s="17" t="inlineStr">
        <is>
          <t>/api/dashboard/todos/${id}/handle</t>
        </is>
      </c>
      <c r="F25" s="10" t="inlineStr">
        <is>
          <t>id, data</t>
        </is>
      </c>
      <c r="G25" s="8" t="inlineStr">
        <is>
          <t>todo_task、approval_record</t>
        </is>
      </c>
      <c r="H25" s="8" t="inlineStr">
        <is>
          <t>首页 /dashboard</t>
        </is>
      </c>
      <c r="I25" s="10" t="inlineStr">
        <is>
          <t>人事专员</t>
        </is>
      </c>
      <c r="J25" s="11" t="inlineStr">
        <is>
          <t>已实现</t>
        </is>
      </c>
      <c r="K25" s="18" t="inlineStr">
        <is>
          <t>通过</t>
        </is>
      </c>
    </row>
    <row r="26">
      <c r="A26" s="11" t="n">
        <v>25</v>
      </c>
      <c r="B26" s="10" t="inlineStr">
        <is>
          <t>部门管理</t>
        </is>
      </c>
      <c r="C26" s="8" t="inlineStr">
        <is>
          <t>组织架构树（F-03-01）：GET /api/depts/tree</t>
        </is>
      </c>
      <c r="D26" s="11" t="inlineStr">
        <is>
          <t>GET</t>
        </is>
      </c>
      <c r="E26" s="17" t="inlineStr">
        <is>
          <t>/api/depts/tree</t>
        </is>
      </c>
      <c r="F26" s="10" t="inlineStr">
        <is>
          <t>—</t>
        </is>
      </c>
      <c r="G26" s="8" t="inlineStr">
        <is>
          <t>dept、employee</t>
        </is>
      </c>
      <c r="H26" s="8" t="inlineStr">
        <is>
          <t>组织架构 /dept</t>
        </is>
      </c>
      <c r="I26" s="10" t="inlineStr">
        <is>
          <t>人事专员</t>
        </is>
      </c>
      <c r="J26" s="11" t="inlineStr">
        <is>
          <t>已实现</t>
        </is>
      </c>
      <c r="K26" s="18" t="inlineStr">
        <is>
          <t>通过</t>
        </is>
      </c>
    </row>
    <row r="27">
      <c r="A27" s="11" t="n">
        <v>26</v>
      </c>
      <c r="B27" s="10" t="inlineStr">
        <is>
          <t>部门管理</t>
        </is>
      </c>
      <c r="C27" s="8" t="inlineStr">
        <is>
          <t>部门列表（扁平）：GET /api/depts</t>
        </is>
      </c>
      <c r="D27" s="11" t="inlineStr">
        <is>
          <t>GET</t>
        </is>
      </c>
      <c r="E27" s="17" t="inlineStr">
        <is>
          <t>/api/depts</t>
        </is>
      </c>
      <c r="F27" s="10" t="inlineStr">
        <is>
          <t>—</t>
        </is>
      </c>
      <c r="G27" s="8" t="inlineStr">
        <is>
          <t>dept</t>
        </is>
      </c>
      <c r="H27" s="8" t="inlineStr">
        <is>
          <t>组织架构 /dept</t>
        </is>
      </c>
      <c r="I27" s="10" t="inlineStr">
        <is>
          <t>人事专员</t>
        </is>
      </c>
      <c r="J27" s="11" t="inlineStr">
        <is>
          <t>已实现</t>
        </is>
      </c>
      <c r="K27" s="18" t="inlineStr">
        <is>
          <t>通过</t>
        </is>
      </c>
    </row>
    <row r="28">
      <c r="A28" s="11" t="n">
        <v>27</v>
      </c>
      <c r="B28" s="10" t="inlineStr">
        <is>
          <t>部门管理</t>
        </is>
      </c>
      <c r="C28" s="8" t="inlineStr">
        <is>
          <t>新增部门（F-03-02）：POST /api/depts</t>
        </is>
      </c>
      <c r="D28" s="11" t="inlineStr">
        <is>
          <t>POST</t>
        </is>
      </c>
      <c r="E28" s="17" t="inlineStr">
        <is>
          <t>/api/depts</t>
        </is>
      </c>
      <c r="F28" s="10" t="inlineStr">
        <is>
          <t>data</t>
        </is>
      </c>
      <c r="G28" s="8" t="inlineStr">
        <is>
          <t>dept</t>
        </is>
      </c>
      <c r="H28" s="8" t="inlineStr">
        <is>
          <t>组织架构 /dept</t>
        </is>
      </c>
      <c r="I28" s="10" t="inlineStr">
        <is>
          <t>人事专员</t>
        </is>
      </c>
      <c r="J28" s="11" t="inlineStr">
        <is>
          <t>已实现</t>
        </is>
      </c>
      <c r="K28" s="18" t="inlineStr">
        <is>
          <t>通过</t>
        </is>
      </c>
    </row>
    <row r="29">
      <c r="A29" s="11" t="n">
        <v>28</v>
      </c>
      <c r="B29" s="10" t="inlineStr">
        <is>
          <t>部门管理</t>
        </is>
      </c>
      <c r="C29" s="8" t="inlineStr">
        <is>
          <t>修改部门：PUT /api/depts/{id}</t>
        </is>
      </c>
      <c r="D29" s="11" t="inlineStr">
        <is>
          <t>PUT</t>
        </is>
      </c>
      <c r="E29" s="17" t="inlineStr">
        <is>
          <t>/api/depts/${id}</t>
        </is>
      </c>
      <c r="F29" s="10" t="inlineStr">
        <is>
          <t>id, data</t>
        </is>
      </c>
      <c r="G29" s="8" t="inlineStr">
        <is>
          <t>dept</t>
        </is>
      </c>
      <c r="H29" s="8" t="inlineStr">
        <is>
          <t>组织架构 /dept</t>
        </is>
      </c>
      <c r="I29" s="10" t="inlineStr">
        <is>
          <t>人事专员</t>
        </is>
      </c>
      <c r="J29" s="11" t="inlineStr">
        <is>
          <t>已实现</t>
        </is>
      </c>
      <c r="K29" s="18" t="inlineStr">
        <is>
          <t>通过</t>
        </is>
      </c>
    </row>
    <row r="30">
      <c r="A30" s="11" t="n">
        <v>29</v>
      </c>
      <c r="B30" s="10" t="inlineStr">
        <is>
          <t>部门管理</t>
        </is>
      </c>
      <c r="C30" s="8" t="inlineStr">
        <is>
          <t>删除部门（有在职员工时后端拒绝 BR-03-02）：DELETE /api/depts/{id}</t>
        </is>
      </c>
      <c r="D30" s="11" t="inlineStr">
        <is>
          <t>DELETE</t>
        </is>
      </c>
      <c r="E30" s="17" t="inlineStr">
        <is>
          <t>/api/depts/${id}</t>
        </is>
      </c>
      <c r="F30" s="10" t="inlineStr">
        <is>
          <t>id</t>
        </is>
      </c>
      <c r="G30" s="8" t="inlineStr">
        <is>
          <t>dept、employee</t>
        </is>
      </c>
      <c r="H30" s="8" t="inlineStr">
        <is>
          <t>组织架构 /dept</t>
        </is>
      </c>
      <c r="I30" s="10" t="inlineStr">
        <is>
          <t>人事专员</t>
        </is>
      </c>
      <c r="J30" s="11" t="inlineStr">
        <is>
          <t>已实现</t>
        </is>
      </c>
      <c r="K30" s="18" t="inlineStr">
        <is>
          <t>通过</t>
        </is>
      </c>
    </row>
    <row r="31">
      <c r="A31" s="11" t="n">
        <v>30</v>
      </c>
      <c r="B31" s="10" t="inlineStr">
        <is>
          <t>部门管理</t>
        </is>
      </c>
      <c r="C31" s="8" t="inlineStr">
        <is>
          <t>岗位列表（F-03-03）：GET /api/positions</t>
        </is>
      </c>
      <c r="D31" s="11" t="inlineStr">
        <is>
          <t>GET</t>
        </is>
      </c>
      <c r="E31" s="17" t="inlineStr">
        <is>
          <t>/api/positions</t>
        </is>
      </c>
      <c r="F31" s="10" t="inlineStr">
        <is>
          <t>params</t>
        </is>
      </c>
      <c r="G31" s="8" t="inlineStr">
        <is>
          <t>position、dept</t>
        </is>
      </c>
      <c r="H31" s="8" t="inlineStr">
        <is>
          <t>岗位管理 /dept/positions</t>
        </is>
      </c>
      <c r="I31" s="10" t="inlineStr">
        <is>
          <t>人事专员</t>
        </is>
      </c>
      <c r="J31" s="11" t="inlineStr">
        <is>
          <t>已实现</t>
        </is>
      </c>
      <c r="K31" s="18" t="inlineStr">
        <is>
          <t>通过</t>
        </is>
      </c>
    </row>
    <row r="32">
      <c r="A32" s="11" t="n">
        <v>31</v>
      </c>
      <c r="B32" s="10" t="inlineStr">
        <is>
          <t>部门管理</t>
        </is>
      </c>
      <c r="C32" s="8" t="inlineStr">
        <is>
          <t>新增岗位：POST /api/positions</t>
        </is>
      </c>
      <c r="D32" s="11" t="inlineStr">
        <is>
          <t>POST</t>
        </is>
      </c>
      <c r="E32" s="17" t="inlineStr">
        <is>
          <t>/api/positions</t>
        </is>
      </c>
      <c r="F32" s="10" t="inlineStr">
        <is>
          <t>data</t>
        </is>
      </c>
      <c r="G32" s="8" t="inlineStr">
        <is>
          <t>position</t>
        </is>
      </c>
      <c r="H32" s="8" t="inlineStr">
        <is>
          <t>岗位管理 /dept/positions</t>
        </is>
      </c>
      <c r="I32" s="10" t="inlineStr">
        <is>
          <t>人事专员</t>
        </is>
      </c>
      <c r="J32" s="11" t="inlineStr">
        <is>
          <t>已实现</t>
        </is>
      </c>
      <c r="K32" s="18" t="inlineStr">
        <is>
          <t>通过</t>
        </is>
      </c>
    </row>
    <row r="33">
      <c r="A33" s="11" t="n">
        <v>32</v>
      </c>
      <c r="B33" s="10" t="inlineStr">
        <is>
          <t>部门管理</t>
        </is>
      </c>
      <c r="C33" s="8" t="inlineStr">
        <is>
          <t>修改岗位：PUT /api/positions/{id}</t>
        </is>
      </c>
      <c r="D33" s="11" t="inlineStr">
        <is>
          <t>PUT</t>
        </is>
      </c>
      <c r="E33" s="17" t="inlineStr">
        <is>
          <t>/api/positions/${id}</t>
        </is>
      </c>
      <c r="F33" s="10" t="inlineStr">
        <is>
          <t>id, data</t>
        </is>
      </c>
      <c r="G33" s="8" t="inlineStr">
        <is>
          <t>position</t>
        </is>
      </c>
      <c r="H33" s="8" t="inlineStr">
        <is>
          <t>岗位管理 /dept/positions</t>
        </is>
      </c>
      <c r="I33" s="10" t="inlineStr">
        <is>
          <t>人事专员</t>
        </is>
      </c>
      <c r="J33" s="11" t="inlineStr">
        <is>
          <t>已实现</t>
        </is>
      </c>
      <c r="K33" s="18" t="inlineStr">
        <is>
          <t>通过</t>
        </is>
      </c>
    </row>
    <row r="34">
      <c r="A34" s="11" t="n">
        <v>33</v>
      </c>
      <c r="B34" s="10" t="inlineStr">
        <is>
          <t>员工档案</t>
        </is>
      </c>
      <c r="C34" s="8" t="inlineStr">
        <is>
          <t>员工分页+多条件查询（F-02-06）：GET /api/employees/page</t>
        </is>
      </c>
      <c r="D34" s="11" t="inlineStr">
        <is>
          <t>GET</t>
        </is>
      </c>
      <c r="E34" s="17" t="inlineStr">
        <is>
          <t>/api/employees/page</t>
        </is>
      </c>
      <c r="F34" s="10" t="inlineStr">
        <is>
          <t>params</t>
        </is>
      </c>
      <c r="G34" s="8" t="inlineStr">
        <is>
          <t>employee、dept、position</t>
        </is>
      </c>
      <c r="H34" s="8" t="inlineStr">
        <is>
          <t>员工档案 /employee</t>
        </is>
      </c>
      <c r="I34" s="10" t="inlineStr">
        <is>
          <t>人事专员、部门主管</t>
        </is>
      </c>
      <c r="J34" s="11" t="inlineStr">
        <is>
          <t>已实现</t>
        </is>
      </c>
      <c r="K34" s="18" t="inlineStr">
        <is>
          <t>通过</t>
        </is>
      </c>
    </row>
    <row r="35">
      <c r="A35" s="11" t="n">
        <v>34</v>
      </c>
      <c r="B35" s="10" t="inlineStr">
        <is>
          <t>员工档案</t>
        </is>
      </c>
      <c r="C35" s="8" t="inlineStr">
        <is>
          <t>员工详情：GET /api/employees/{id}</t>
        </is>
      </c>
      <c r="D35" s="11" t="inlineStr">
        <is>
          <t>GET</t>
        </is>
      </c>
      <c r="E35" s="17" t="inlineStr">
        <is>
          <t>/api/employees/${id}</t>
        </is>
      </c>
      <c r="F35" s="10" t="inlineStr">
        <is>
          <t>id</t>
        </is>
      </c>
      <c r="G35" s="8" t="inlineStr">
        <is>
          <t>employee、dept、position</t>
        </is>
      </c>
      <c r="H35" s="8" t="inlineStr">
        <is>
          <t>员工档案 /employee；我的档案 /employee/profile</t>
        </is>
      </c>
      <c r="I35" s="10" t="inlineStr">
        <is>
          <t>人事专员、普通员工</t>
        </is>
      </c>
      <c r="J35" s="11" t="inlineStr">
        <is>
          <t>已实现</t>
        </is>
      </c>
      <c r="K35" s="18" t="inlineStr">
        <is>
          <t>通过</t>
        </is>
      </c>
    </row>
    <row r="36">
      <c r="A36" s="11" t="n">
        <v>35</v>
      </c>
      <c r="B36" s="10" t="inlineStr">
        <is>
          <t>员工档案</t>
        </is>
      </c>
      <c r="C36" s="8" t="inlineStr">
        <is>
          <t>新增员工/入职办理（F-02-02）：POST /api/employees</t>
        </is>
      </c>
      <c r="D36" s="11" t="inlineStr">
        <is>
          <t>POST</t>
        </is>
      </c>
      <c r="E36" s="17" t="inlineStr">
        <is>
          <t>/api/employees</t>
        </is>
      </c>
      <c r="F36" s="10" t="inlineStr">
        <is>
          <t>data</t>
        </is>
      </c>
      <c r="G36" s="8" t="inlineStr">
        <is>
          <t>employee、employee_change、sys_user</t>
        </is>
      </c>
      <c r="H36" s="8" t="inlineStr">
        <is>
          <t>员工档案 /employee</t>
        </is>
      </c>
      <c r="I36" s="10" t="inlineStr">
        <is>
          <t>人事专员</t>
        </is>
      </c>
      <c r="J36" s="11" t="inlineStr">
        <is>
          <t>已实现</t>
        </is>
      </c>
      <c r="K36" s="18" t="inlineStr">
        <is>
          <t>通过</t>
        </is>
      </c>
    </row>
    <row r="37">
      <c r="A37" s="11" t="n">
        <v>36</v>
      </c>
      <c r="B37" s="10" t="inlineStr">
        <is>
          <t>员工档案</t>
        </is>
      </c>
      <c r="C37" s="8" t="inlineStr">
        <is>
          <t>修改员工：PUT /api/employees/{id}</t>
        </is>
      </c>
      <c r="D37" s="11" t="inlineStr">
        <is>
          <t>PUT</t>
        </is>
      </c>
      <c r="E37" s="17" t="inlineStr">
        <is>
          <t>/api/employees/${id}</t>
        </is>
      </c>
      <c r="F37" s="10" t="inlineStr">
        <is>
          <t>id, data</t>
        </is>
      </c>
      <c r="G37" s="8" t="inlineStr">
        <is>
          <t>employee、position</t>
        </is>
      </c>
      <c r="H37" s="8" t="inlineStr">
        <is>
          <t>员工档案 /employee</t>
        </is>
      </c>
      <c r="I37" s="10" t="inlineStr">
        <is>
          <t>人事专员</t>
        </is>
      </c>
      <c r="J37" s="11" t="inlineStr">
        <is>
          <t>已实现</t>
        </is>
      </c>
      <c r="K37" s="18" t="inlineStr">
        <is>
          <t>通过</t>
        </is>
      </c>
    </row>
    <row r="38">
      <c r="A38" s="11" t="n">
        <v>37</v>
      </c>
      <c r="B38" s="10" t="inlineStr">
        <is>
          <t>员工档案</t>
        </is>
      </c>
      <c r="C38" s="8" t="inlineStr">
        <is>
          <t>删除员工（逻辑删除 BR-02-03）：DELETE /api/employees/{id}</t>
        </is>
      </c>
      <c r="D38" s="11" t="inlineStr">
        <is>
          <t>DELETE</t>
        </is>
      </c>
      <c r="E38" s="17" t="inlineStr">
        <is>
          <t>/api/employees/${id}</t>
        </is>
      </c>
      <c r="F38" s="10" t="inlineStr">
        <is>
          <t>id</t>
        </is>
      </c>
      <c r="G38" s="8" t="inlineStr">
        <is>
          <t>employee</t>
        </is>
      </c>
      <c r="H38" s="8" t="inlineStr">
        <is>
          <t>员工档案 /employee</t>
        </is>
      </c>
      <c r="I38" s="10" t="inlineStr">
        <is>
          <t>人事专员</t>
        </is>
      </c>
      <c r="J38" s="11" t="inlineStr">
        <is>
          <t>已实现</t>
        </is>
      </c>
      <c r="K38" s="18" t="inlineStr">
        <is>
          <t>通过</t>
        </is>
      </c>
    </row>
    <row r="39">
      <c r="A39" s="11" t="n">
        <v>38</v>
      </c>
      <c r="B39" s="10" t="inlineStr">
        <is>
          <t>员工档案</t>
        </is>
      </c>
      <c r="C39" s="8" t="inlineStr">
        <is>
          <t>状态变更（离职/转正 BR-02-04）：PUT /api/employees/{id}/status</t>
        </is>
      </c>
      <c r="D39" s="11" t="inlineStr">
        <is>
          <t>PUT</t>
        </is>
      </c>
      <c r="E39" s="17" t="inlineStr">
        <is>
          <t>/api/employees/${id}/status</t>
        </is>
      </c>
      <c r="F39" s="10" t="inlineStr">
        <is>
          <t>id, data</t>
        </is>
      </c>
      <c r="G39" s="8" t="inlineStr">
        <is>
          <t>employee、employee_change</t>
        </is>
      </c>
      <c r="H39" s="8" t="inlineStr">
        <is>
          <t>员工档案 /employee</t>
        </is>
      </c>
      <c r="I39" s="10" t="inlineStr">
        <is>
          <t>人事专员</t>
        </is>
      </c>
      <c r="J39" s="11" t="inlineStr">
        <is>
          <t>已实现</t>
        </is>
      </c>
      <c r="K39" s="18" t="inlineStr">
        <is>
          <t>通过</t>
        </is>
      </c>
    </row>
    <row r="40">
      <c r="A40" s="11" t="n">
        <v>39</v>
      </c>
      <c r="B40" s="10" t="inlineStr">
        <is>
          <t>员工档案</t>
        </is>
      </c>
      <c r="C40" s="8" t="inlineStr">
        <is>
          <t>异动记录（F-02-03）：GET /api/employees/{id}/changes</t>
        </is>
      </c>
      <c r="D40" s="11" t="inlineStr">
        <is>
          <t>GET</t>
        </is>
      </c>
      <c r="E40" s="17" t="inlineStr">
        <is>
          <t>/api/employees/${id}/changes</t>
        </is>
      </c>
      <c r="F40" s="10" t="inlineStr">
        <is>
          <t>id</t>
        </is>
      </c>
      <c r="G40" s="8" t="inlineStr">
        <is>
          <t>employee_change、dept、position</t>
        </is>
      </c>
      <c r="H40" s="8" t="inlineStr">
        <is>
          <t>员工档案 /employee</t>
        </is>
      </c>
      <c r="I40" s="10" t="inlineStr">
        <is>
          <t>人事专员</t>
        </is>
      </c>
      <c r="J40" s="11" t="inlineStr">
        <is>
          <t>已实现</t>
        </is>
      </c>
      <c r="K40" s="18" t="inlineStr">
        <is>
          <t>通过</t>
        </is>
      </c>
    </row>
    <row r="41">
      <c r="A41" s="11" t="n">
        <v>40</v>
      </c>
      <c r="B41" s="10" t="inlineStr">
        <is>
          <t>员工档案</t>
        </is>
      </c>
      <c r="C41" s="8" t="inlineStr">
        <is>
          <t>办理异动（调岗/调部门/晋升）：POST /api/employee-changes</t>
        </is>
      </c>
      <c r="D41" s="11" t="inlineStr">
        <is>
          <t>POST</t>
        </is>
      </c>
      <c r="E41" s="17" t="inlineStr">
        <is>
          <t>/api/employee-changes</t>
        </is>
      </c>
      <c r="F41" s="10" t="inlineStr">
        <is>
          <t>data</t>
        </is>
      </c>
      <c r="G41" s="8" t="inlineStr">
        <is>
          <t>employee_change、employee、position</t>
        </is>
      </c>
      <c r="H41" s="8" t="inlineStr">
        <is>
          <t>异动记录 /employee/changes</t>
        </is>
      </c>
      <c r="I41" s="10" t="inlineStr">
        <is>
          <t>人事专员</t>
        </is>
      </c>
      <c r="J41" s="11" t="inlineStr">
        <is>
          <t>已实现</t>
        </is>
      </c>
      <c r="K41" s="18" t="inlineStr">
        <is>
          <t>通过</t>
        </is>
      </c>
    </row>
    <row r="42">
      <c r="A42" s="11" t="n">
        <v>41</v>
      </c>
      <c r="B42" s="10" t="inlineStr">
        <is>
          <t>员工档案</t>
        </is>
      </c>
      <c r="C42" s="8" t="inlineStr">
        <is>
          <t>异动分页：GET /api/employee-changes/page</t>
        </is>
      </c>
      <c r="D42" s="11" t="inlineStr">
        <is>
          <t>GET</t>
        </is>
      </c>
      <c r="E42" s="17" t="inlineStr">
        <is>
          <t>/api/employee-changes/page</t>
        </is>
      </c>
      <c r="F42" s="10" t="inlineStr">
        <is>
          <t>params</t>
        </is>
      </c>
      <c r="G42" s="8" t="inlineStr">
        <is>
          <t>employee_change、employee、dept</t>
        </is>
      </c>
      <c r="H42" s="8" t="inlineStr">
        <is>
          <t>异动记录 /employee/changes</t>
        </is>
      </c>
      <c r="I42" s="10" t="inlineStr">
        <is>
          <t>人事专员</t>
        </is>
      </c>
      <c r="J42" s="11" t="inlineStr">
        <is>
          <t>已实现</t>
        </is>
      </c>
      <c r="K42" s="18" t="inlineStr">
        <is>
          <t>通过</t>
        </is>
      </c>
    </row>
    <row r="43">
      <c r="A43" s="11" t="n">
        <v>42</v>
      </c>
      <c r="B43" s="10" t="inlineStr">
        <is>
          <t>员工档案</t>
        </is>
      </c>
      <c r="C43" s="8" t="inlineStr">
        <is>
          <t>合同列表（F-02-05）：GET /api/employee-contracts/page</t>
        </is>
      </c>
      <c r="D43" s="11" t="inlineStr">
        <is>
          <t>GET</t>
        </is>
      </c>
      <c r="E43" s="17" t="inlineStr">
        <is>
          <t>/api/employee-contracts/page</t>
        </is>
      </c>
      <c r="F43" s="10" t="inlineStr">
        <is>
          <t>params</t>
        </is>
      </c>
      <c r="G43" s="8" t="inlineStr">
        <is>
          <t>employee_contract、employee</t>
        </is>
      </c>
      <c r="H43" s="8" t="inlineStr">
        <is>
          <t>合同管理 /employee/contracts</t>
        </is>
      </c>
      <c r="I43" s="10" t="inlineStr">
        <is>
          <t>人事专员</t>
        </is>
      </c>
      <c r="J43" s="11" t="inlineStr">
        <is>
          <t>已实现</t>
        </is>
      </c>
      <c r="K43" s="18" t="inlineStr">
        <is>
          <t>通过</t>
        </is>
      </c>
    </row>
    <row r="44">
      <c r="A44" s="11" t="n">
        <v>43</v>
      </c>
      <c r="B44" s="10" t="inlineStr">
        <is>
          <t>员工档案</t>
        </is>
      </c>
      <c r="C44" s="8" t="inlineStr">
        <is>
          <t>签订/续签合同：POST /api/employee-contracts</t>
        </is>
      </c>
      <c r="D44" s="11" t="inlineStr">
        <is>
          <t>POST</t>
        </is>
      </c>
      <c r="E44" s="17" t="inlineStr">
        <is>
          <t>/api/employee-contracts</t>
        </is>
      </c>
      <c r="F44" s="10" t="inlineStr">
        <is>
          <t>data</t>
        </is>
      </c>
      <c r="G44" s="8" t="inlineStr">
        <is>
          <t>employee_contract</t>
        </is>
      </c>
      <c r="H44" s="8" t="inlineStr">
        <is>
          <t>合同管理 /employee/contracts</t>
        </is>
      </c>
      <c r="I44" s="10" t="inlineStr">
        <is>
          <t>人事专员</t>
        </is>
      </c>
      <c r="J44" s="11" t="inlineStr">
        <is>
          <t>已实现</t>
        </is>
      </c>
      <c r="K44" s="18" t="inlineStr">
        <is>
          <t>通过</t>
        </is>
      </c>
    </row>
    <row r="45">
      <c r="A45" s="11" t="n">
        <v>44</v>
      </c>
      <c r="B45" s="10" t="inlineStr">
        <is>
          <t>绩效考核</t>
        </is>
      </c>
      <c r="C45" s="8" t="inlineStr">
        <is>
          <t>考核方案分页（F-08-01）：GET /api/performance-plans/page</t>
        </is>
      </c>
      <c r="D45" s="11" t="inlineStr">
        <is>
          <t>GET</t>
        </is>
      </c>
      <c r="E45" s="17" t="inlineStr">
        <is>
          <t>/api/performance-plans/page</t>
        </is>
      </c>
      <c r="F45" s="10" t="inlineStr">
        <is>
          <t>params</t>
        </is>
      </c>
      <c r="G45" s="8" t="inlineStr">
        <is>
          <t>performance_plan、performance_indicator、performance_record</t>
        </is>
      </c>
      <c r="H45" s="8" t="inlineStr">
        <is>
          <t>考核方案 /performance/plan</t>
        </is>
      </c>
      <c r="I45" s="10" t="inlineStr">
        <is>
          <t>人事专员</t>
        </is>
      </c>
      <c r="J45" s="11" t="inlineStr">
        <is>
          <t>已实现</t>
        </is>
      </c>
      <c r="K45" s="18" t="inlineStr">
        <is>
          <t>通过</t>
        </is>
      </c>
    </row>
    <row r="46">
      <c r="A46" s="11" t="n">
        <v>45</v>
      </c>
      <c r="B46" s="10" t="inlineStr">
        <is>
          <t>绩效考核</t>
        </is>
      </c>
      <c r="C46" s="8" t="inlineStr">
        <is>
          <t>新增考核方案：POST /api/performance-plans</t>
        </is>
      </c>
      <c r="D46" s="11" t="inlineStr">
        <is>
          <t>POST</t>
        </is>
      </c>
      <c r="E46" s="17" t="inlineStr">
        <is>
          <t>/api/performance-plans</t>
        </is>
      </c>
      <c r="F46" s="10" t="inlineStr">
        <is>
          <t>data</t>
        </is>
      </c>
      <c r="G46" s="8" t="inlineStr">
        <is>
          <t>performance_plan、employee</t>
        </is>
      </c>
      <c r="H46" s="8" t="inlineStr">
        <is>
          <t>考核方案 /performance/plan</t>
        </is>
      </c>
      <c r="I46" s="10" t="inlineStr">
        <is>
          <t>人事专员</t>
        </is>
      </c>
      <c r="J46" s="11" t="inlineStr">
        <is>
          <t>已实现</t>
        </is>
      </c>
      <c r="K46" s="18" t="inlineStr">
        <is>
          <t>通过</t>
        </is>
      </c>
    </row>
    <row r="47">
      <c r="A47" s="11" t="n">
        <v>46</v>
      </c>
      <c r="B47" s="10" t="inlineStr">
        <is>
          <t>绩效考核</t>
        </is>
      </c>
      <c r="C47" s="8" t="inlineStr">
        <is>
          <t>发布方案（进入评分中）：PUT /api/performance-plans/{id}/publish</t>
        </is>
      </c>
      <c r="D47" s="11" t="inlineStr">
        <is>
          <t>PUT</t>
        </is>
      </c>
      <c r="E47" s="17" t="inlineStr">
        <is>
          <t>/api/performance-plans/${id}/publish</t>
        </is>
      </c>
      <c r="F47" s="10" t="inlineStr">
        <is>
          <t>id</t>
        </is>
      </c>
      <c r="G47" s="8" t="inlineStr">
        <is>
          <t>performance_plan、performance_record、employee</t>
        </is>
      </c>
      <c r="H47" s="8" t="inlineStr">
        <is>
          <t>考核方案 /performance/plan</t>
        </is>
      </c>
      <c r="I47" s="10" t="inlineStr">
        <is>
          <t>人事专员</t>
        </is>
      </c>
      <c r="J47" s="11" t="inlineStr">
        <is>
          <t>已实现</t>
        </is>
      </c>
      <c r="K47" s="18" t="inlineStr">
        <is>
          <t>通过</t>
        </is>
      </c>
    </row>
    <row r="48">
      <c r="A48" s="11" t="n">
        <v>47</v>
      </c>
      <c r="B48" s="10" t="inlineStr">
        <is>
          <t>绩效考核</t>
        </is>
      </c>
      <c r="C48" s="8" t="inlineStr">
        <is>
          <t>考核记录分页（F-08-03 按数据范围过滤）：GET /api/performance-records/page</t>
        </is>
      </c>
      <c r="D48" s="11" t="inlineStr">
        <is>
          <t>GET</t>
        </is>
      </c>
      <c r="E48" s="17" t="inlineStr">
        <is>
          <t>/api/performance-records/page</t>
        </is>
      </c>
      <c r="F48" s="10" t="inlineStr">
        <is>
          <t>params</t>
        </is>
      </c>
      <c r="G48" s="8" t="inlineStr">
        <is>
          <t>performance_record、performance_plan、employee</t>
        </is>
      </c>
      <c r="H48" s="8" t="inlineStr">
        <is>
          <t>绩效评分 /performance/record</t>
        </is>
      </c>
      <c r="I48" s="10" t="inlineStr">
        <is>
          <t>人事专员、部门主管、普通员工</t>
        </is>
      </c>
      <c r="J48" s="11" t="inlineStr">
        <is>
          <t>已实现</t>
        </is>
      </c>
      <c r="K48" s="18" t="inlineStr">
        <is>
          <t>通过</t>
        </is>
      </c>
    </row>
    <row r="49">
      <c r="A49" s="11" t="n">
        <v>48</v>
      </c>
      <c r="B49" s="10" t="inlineStr">
        <is>
          <t>绩效考核</t>
        </is>
      </c>
      <c r="C49" s="8" t="inlineStr">
        <is>
          <t>员工自评：PUT /api/performance-records/{id}/self-score</t>
        </is>
      </c>
      <c r="D49" s="11" t="inlineStr">
        <is>
          <t>PUT</t>
        </is>
      </c>
      <c r="E49" s="17" t="inlineStr">
        <is>
          <t>/api/performance-records/${id}/self-score</t>
        </is>
      </c>
      <c r="F49" s="10" t="inlineStr">
        <is>
          <t>id, data</t>
        </is>
      </c>
      <c r="G49" s="8" t="inlineStr">
        <is>
          <t>performance_record、performance_plan</t>
        </is>
      </c>
      <c r="H49" s="8" t="inlineStr">
        <is>
          <t>绩效评分 /performance/record</t>
        </is>
      </c>
      <c r="I49" s="10" t="inlineStr">
        <is>
          <t>普通员工</t>
        </is>
      </c>
      <c r="J49" s="11" t="inlineStr">
        <is>
          <t>已实现</t>
        </is>
      </c>
      <c r="K49" s="18" t="inlineStr">
        <is>
          <t>通过</t>
        </is>
      </c>
    </row>
    <row r="50">
      <c r="A50" s="11" t="n">
        <v>49</v>
      </c>
      <c r="B50" s="10" t="inlineStr">
        <is>
          <t>绩效考核</t>
        </is>
      </c>
      <c r="C50" s="8" t="inlineStr">
        <is>
          <t>主管评分：PUT /api/performance-records/{id}/leader-score</t>
        </is>
      </c>
      <c r="D50" s="11" t="inlineStr">
        <is>
          <t>PUT</t>
        </is>
      </c>
      <c r="E50" s="17" t="inlineStr">
        <is>
          <t>/api/performance-records/${id}/leader-score</t>
        </is>
      </c>
      <c r="F50" s="10" t="inlineStr">
        <is>
          <t>id, data</t>
        </is>
      </c>
      <c r="G50" s="8" t="inlineStr">
        <is>
          <t>performance_record、performance_plan</t>
        </is>
      </c>
      <c r="H50" s="8" t="inlineStr">
        <is>
          <t>绩效评分 /performance/record</t>
        </is>
      </c>
      <c r="I50" s="10" t="inlineStr">
        <is>
          <t>人事专员</t>
        </is>
      </c>
      <c r="J50" s="11" t="inlineStr">
        <is>
          <t>已实现</t>
        </is>
      </c>
      <c r="K50" s="18" t="inlineStr">
        <is>
          <t>通过</t>
        </is>
      </c>
    </row>
    <row r="51">
      <c r="A51" s="11" t="n">
        <v>50</v>
      </c>
      <c r="B51" s="10" t="inlineStr">
        <is>
          <t>绩效考核</t>
        </is>
      </c>
      <c r="C51" s="8" t="inlineStr">
        <is>
          <t>员工结果确认/申诉（BR-08-01）：PUT /api/performance-records/{id}/confirm</t>
        </is>
      </c>
      <c r="D51" s="11" t="inlineStr">
        <is>
          <t>PUT</t>
        </is>
      </c>
      <c r="E51" s="17" t="inlineStr">
        <is>
          <t>/api/performance-records/${id}/confirm</t>
        </is>
      </c>
      <c r="F51" s="10" t="inlineStr">
        <is>
          <t>id, data</t>
        </is>
      </c>
      <c r="G51" s="8" t="inlineStr">
        <is>
          <t>performance_record、performance_interview</t>
        </is>
      </c>
      <c r="H51" s="8" t="inlineStr">
        <is>
          <t>绩效评分 /performance/record</t>
        </is>
      </c>
      <c r="I51" s="10" t="inlineStr">
        <is>
          <t>普通员工</t>
        </is>
      </c>
      <c r="J51" s="11" t="inlineStr">
        <is>
          <t>已实现</t>
        </is>
      </c>
      <c r="K51" s="18" t="inlineStr">
        <is>
          <t>通过</t>
        </is>
      </c>
    </row>
    <row r="52">
      <c r="A52" s="11" t="n">
        <v>51</v>
      </c>
      <c r="B52" s="10" t="inlineStr">
        <is>
          <t>招聘管理</t>
        </is>
      </c>
      <c r="C52" s="8" t="inlineStr">
        <is>
          <t>招聘需求分页（F-06-01）：GET /api/recruit-requests/page</t>
        </is>
      </c>
      <c r="D52" s="11" t="inlineStr">
        <is>
          <t>GET</t>
        </is>
      </c>
      <c r="E52" s="17" t="inlineStr">
        <is>
          <t>/api/recruit-requests/page</t>
        </is>
      </c>
      <c r="F52" s="10" t="inlineStr">
        <is>
          <t>params</t>
        </is>
      </c>
      <c r="G52" s="8" t="inlineStr">
        <is>
          <t>recruit_request、dept、position、employee</t>
        </is>
      </c>
      <c r="H52" s="8" t="inlineStr">
        <is>
          <t>招聘需求 /recruit/request</t>
        </is>
      </c>
      <c r="I52" s="10" t="inlineStr">
        <is>
          <t>人事专员</t>
        </is>
      </c>
      <c r="J52" s="11" t="inlineStr">
        <is>
          <t>已实现</t>
        </is>
      </c>
      <c r="K52" s="18" t="inlineStr">
        <is>
          <t>通过</t>
        </is>
      </c>
    </row>
    <row r="53">
      <c r="A53" s="11" t="n">
        <v>52</v>
      </c>
      <c r="B53" s="10" t="inlineStr">
        <is>
          <t>招聘管理</t>
        </is>
      </c>
      <c r="C53" s="8" t="inlineStr">
        <is>
          <t>提报招聘需求（主管提报 BR-06-02）：POST /api/recruit-requests</t>
        </is>
      </c>
      <c r="D53" s="11" t="inlineStr">
        <is>
          <t>POST</t>
        </is>
      </c>
      <c r="E53" s="17" t="inlineStr">
        <is>
          <t>/api/recruit-requests</t>
        </is>
      </c>
      <c r="F53" s="10" t="inlineStr">
        <is>
          <t>data</t>
        </is>
      </c>
      <c r="G53" s="8" t="inlineStr">
        <is>
          <t>recruit_request、employee</t>
        </is>
      </c>
      <c r="H53" s="8" t="inlineStr">
        <is>
          <t>招聘需求 /recruit/request</t>
        </is>
      </c>
      <c r="I53" s="10" t="inlineStr">
        <is>
          <t>部门主管</t>
        </is>
      </c>
      <c r="J53" s="11" t="inlineStr">
        <is>
          <t>已实现</t>
        </is>
      </c>
      <c r="K53" s="18" t="inlineStr">
        <is>
          <t>通过</t>
        </is>
      </c>
    </row>
    <row r="54">
      <c r="A54" s="11" t="n">
        <v>53</v>
      </c>
      <c r="B54" s="10" t="inlineStr">
        <is>
          <t>招聘管理</t>
        </is>
      </c>
      <c r="C54" s="8" t="inlineStr">
        <is>
          <t>需求审批：PUT /api/recruit-requests/{id}/approve</t>
        </is>
      </c>
      <c r="D54" s="11" t="inlineStr">
        <is>
          <t>PUT</t>
        </is>
      </c>
      <c r="E54" s="17" t="inlineStr">
        <is>
          <t>/api/recruit-requests/${id}/approve</t>
        </is>
      </c>
      <c r="F54" s="10" t="inlineStr">
        <is>
          <t>id, data</t>
        </is>
      </c>
      <c r="G54" s="8" t="inlineStr">
        <is>
          <t>recruit_request、approval_record</t>
        </is>
      </c>
      <c r="H54" s="8" t="inlineStr">
        <is>
          <t>招聘需求 /recruit/request</t>
        </is>
      </c>
      <c r="I54" s="10" t="inlineStr">
        <is>
          <t>人事专员</t>
        </is>
      </c>
      <c r="J54" s="11" t="inlineStr">
        <is>
          <t>已实现</t>
        </is>
      </c>
      <c r="K54" s="18" t="inlineStr">
        <is>
          <t>通过</t>
        </is>
      </c>
    </row>
    <row r="55">
      <c r="A55" s="11" t="n">
        <v>54</v>
      </c>
      <c r="B55" s="10" t="inlineStr">
        <is>
          <t>招聘管理</t>
        </is>
      </c>
      <c r="C55" s="8" t="inlineStr">
        <is>
          <t>候选人分页（F-06-03）：GET /api/candidates/page</t>
        </is>
      </c>
      <c r="D55" s="11" t="inlineStr">
        <is>
          <t>GET</t>
        </is>
      </c>
      <c r="E55" s="17" t="inlineStr">
        <is>
          <t>/api/candidates/page</t>
        </is>
      </c>
      <c r="F55" s="10" t="inlineStr">
        <is>
          <t>params</t>
        </is>
      </c>
      <c r="G55" s="8" t="inlineStr">
        <is>
          <t>candidate、recruit_request</t>
        </is>
      </c>
      <c r="H55" s="8" t="inlineStr">
        <is>
          <t>简历筛选 /recruit/candidate</t>
        </is>
      </c>
      <c r="I55" s="10" t="inlineStr">
        <is>
          <t>人事专员</t>
        </is>
      </c>
      <c r="J55" s="11" t="inlineStr">
        <is>
          <t>已实现</t>
        </is>
      </c>
      <c r="K55" s="18" t="inlineStr">
        <is>
          <t>通过</t>
        </is>
      </c>
    </row>
    <row r="56">
      <c r="A56" s="11" t="n">
        <v>55</v>
      </c>
      <c r="B56" s="10" t="inlineStr">
        <is>
          <t>招聘管理</t>
        </is>
      </c>
      <c r="C56" s="8" t="inlineStr">
        <is>
          <t>录入候选人：POST /api/candidates</t>
        </is>
      </c>
      <c r="D56" s="11" t="inlineStr">
        <is>
          <t>POST</t>
        </is>
      </c>
      <c r="E56" s="17" t="inlineStr">
        <is>
          <t>/api/candidates</t>
        </is>
      </c>
      <c r="F56" s="10" t="inlineStr">
        <is>
          <t>data</t>
        </is>
      </c>
      <c r="G56" s="8" t="inlineStr">
        <is>
          <t>candidate</t>
        </is>
      </c>
      <c r="H56" s="8" t="inlineStr">
        <is>
          <t>简历筛选 /recruit/candidate</t>
        </is>
      </c>
      <c r="I56" s="10" t="inlineStr">
        <is>
          <t>人事专员</t>
        </is>
      </c>
      <c r="J56" s="11" t="inlineStr">
        <is>
          <t>已实现</t>
        </is>
      </c>
      <c r="K56" s="18" t="inlineStr">
        <is>
          <t>通过</t>
        </is>
      </c>
    </row>
    <row r="57">
      <c r="A57" s="11" t="n">
        <v>56</v>
      </c>
      <c r="B57" s="10" t="inlineStr">
        <is>
          <t>招聘管理</t>
        </is>
      </c>
      <c r="C57" s="8" t="inlineStr">
        <is>
          <t>推进候选人阶段（BR-06-01 状态流转）：PUT /api/candidates/{id}/stage</t>
        </is>
      </c>
      <c r="D57" s="11" t="inlineStr">
        <is>
          <t>PUT</t>
        </is>
      </c>
      <c r="E57" s="17" t="inlineStr">
        <is>
          <t>/api/candidates/${id}/stage</t>
        </is>
      </c>
      <c r="F57" s="10" t="inlineStr">
        <is>
          <t>id, data</t>
        </is>
      </c>
      <c r="G57" s="8" t="inlineStr">
        <is>
          <t>candidate</t>
        </is>
      </c>
      <c r="H57" s="8" t="inlineStr">
        <is>
          <t>简历筛选 /recruit/candidate</t>
        </is>
      </c>
      <c r="I57" s="10" t="inlineStr">
        <is>
          <t>人事专员</t>
        </is>
      </c>
      <c r="J57" s="11" t="inlineStr">
        <is>
          <t>已实现</t>
        </is>
      </c>
      <c r="K57" s="18" t="inlineStr">
        <is>
          <t>通过</t>
        </is>
      </c>
    </row>
    <row r="58">
      <c r="A58" s="11" t="n">
        <v>57</v>
      </c>
      <c r="B58" s="10" t="inlineStr">
        <is>
          <t>招聘管理</t>
        </is>
      </c>
      <c r="C58" s="8" t="inlineStr">
        <is>
          <t>面试记录列表（F-06-04）：GET /api/interview-records</t>
        </is>
      </c>
      <c r="D58" s="11" t="inlineStr">
        <is>
          <t>GET</t>
        </is>
      </c>
      <c r="E58" s="17" t="inlineStr">
        <is>
          <t>/api/interview-records</t>
        </is>
      </c>
      <c r="F58" s="10" t="inlineStr">
        <is>
          <t>params</t>
        </is>
      </c>
      <c r="G58" s="8" t="inlineStr">
        <is>
          <t>interview_record、candidate、employee</t>
        </is>
      </c>
      <c r="H58" s="8" t="inlineStr">
        <is>
          <t>简历筛选 /recruit/candidate</t>
        </is>
      </c>
      <c r="I58" s="10" t="inlineStr">
        <is>
          <t>人事专员</t>
        </is>
      </c>
      <c r="J58" s="11" t="inlineStr">
        <is>
          <t>已实现</t>
        </is>
      </c>
      <c r="K58" s="18" t="inlineStr">
        <is>
          <t>通过</t>
        </is>
      </c>
    </row>
    <row r="59">
      <c r="A59" s="11" t="n">
        <v>58</v>
      </c>
      <c r="B59" s="10" t="inlineStr">
        <is>
          <t>招聘管理</t>
        </is>
      </c>
      <c r="C59" s="8" t="inlineStr">
        <is>
          <t>安排面试/录入评价：POST /api/interview-records</t>
        </is>
      </c>
      <c r="D59" s="11" t="inlineStr">
        <is>
          <t>POST</t>
        </is>
      </c>
      <c r="E59" s="17" t="inlineStr">
        <is>
          <t>/api/interview-records</t>
        </is>
      </c>
      <c r="F59" s="10" t="inlineStr">
        <is>
          <t>data</t>
        </is>
      </c>
      <c r="G59" s="8" t="inlineStr">
        <is>
          <t>interview_record、candidate</t>
        </is>
      </c>
      <c r="H59" s="8" t="inlineStr">
        <is>
          <t>简历筛选 /recruit/candidate</t>
        </is>
      </c>
      <c r="I59" s="10" t="inlineStr">
        <is>
          <t>人事专员</t>
        </is>
      </c>
      <c r="J59" s="11" t="inlineStr">
        <is>
          <t>已实现</t>
        </is>
      </c>
      <c r="K59" s="18" t="inlineStr">
        <is>
          <t>通过</t>
        </is>
      </c>
    </row>
    <row r="60">
      <c r="A60" s="11" t="n">
        <v>59</v>
      </c>
      <c r="B60" s="10" t="inlineStr">
        <is>
          <t>招聘管理</t>
        </is>
      </c>
      <c r="C60" s="8" t="inlineStr">
        <is>
          <t>Offer 列表（F-06-05）：GET /api/offers/page</t>
        </is>
      </c>
      <c r="D60" s="11" t="inlineStr">
        <is>
          <t>GET</t>
        </is>
      </c>
      <c r="E60" s="17" t="inlineStr">
        <is>
          <t>/api/offers/page</t>
        </is>
      </c>
      <c r="F60" s="10" t="inlineStr">
        <is>
          <t>params</t>
        </is>
      </c>
      <c r="G60" s="8" t="inlineStr">
        <is>
          <t>offer_record、candidate、recruit_request</t>
        </is>
      </c>
      <c r="H60" s="8" t="inlineStr">
        <is>
          <t>录用审批 /recruit/offer</t>
        </is>
      </c>
      <c r="I60" s="10" t="inlineStr">
        <is>
          <t>人事专员</t>
        </is>
      </c>
      <c r="J60" s="11" t="inlineStr">
        <is>
          <t>已实现</t>
        </is>
      </c>
      <c r="K60" s="18" t="inlineStr">
        <is>
          <t>通过</t>
        </is>
      </c>
    </row>
    <row r="61">
      <c r="A61" s="11" t="n">
        <v>60</v>
      </c>
      <c r="B61" s="10" t="inlineStr">
        <is>
          <t>招聘管理</t>
        </is>
      </c>
      <c r="C61" s="8" t="inlineStr">
        <is>
          <t>发送 Offer：PUT /api/offers/{id}/send</t>
        </is>
      </c>
      <c r="D61" s="11" t="inlineStr">
        <is>
          <t>PUT</t>
        </is>
      </c>
      <c r="E61" s="17" t="inlineStr">
        <is>
          <t>/api/offers/${id}/send</t>
        </is>
      </c>
      <c r="F61" s="10" t="inlineStr">
        <is>
          <t>id</t>
        </is>
      </c>
      <c r="G61" s="8" t="inlineStr">
        <is>
          <t>offer_record</t>
        </is>
      </c>
      <c r="H61" s="8" t="inlineStr">
        <is>
          <t>录用审批 /recruit/offer</t>
        </is>
      </c>
      <c r="I61" s="10" t="inlineStr">
        <is>
          <t>人事专员</t>
        </is>
      </c>
      <c r="J61" s="11" t="inlineStr">
        <is>
          <t>已实现</t>
        </is>
      </c>
      <c r="K61" s="18" t="inlineStr">
        <is>
          <t>通过</t>
        </is>
      </c>
    </row>
    <row r="62">
      <c r="A62" s="11" t="n">
        <v>61</v>
      </c>
      <c r="B62" s="10" t="inlineStr">
        <is>
          <t>招聘管理</t>
        </is>
      </c>
      <c r="C62" s="8" t="inlineStr">
        <is>
          <t>确认 Offer 结果：PUT /api/offers/{id}/status</t>
        </is>
      </c>
      <c r="D62" s="11" t="inlineStr">
        <is>
          <t>PUT</t>
        </is>
      </c>
      <c r="E62" s="17" t="inlineStr">
        <is>
          <t>/api/offers/${id}/status</t>
        </is>
      </c>
      <c r="F62" s="10" t="inlineStr">
        <is>
          <t>id, data</t>
        </is>
      </c>
      <c r="G62" s="8" t="inlineStr">
        <is>
          <t>offer_record、candidate</t>
        </is>
      </c>
      <c r="H62" s="8" t="inlineStr">
        <is>
          <t>录用审批 /recruit/offer</t>
        </is>
      </c>
      <c r="I62" s="10" t="inlineStr">
        <is>
          <t>人事专员</t>
        </is>
      </c>
      <c r="J62" s="11" t="inlineStr">
        <is>
          <t>已实现</t>
        </is>
      </c>
      <c r="K62" s="18" t="inlineStr">
        <is>
          <t>通过</t>
        </is>
      </c>
    </row>
    <row r="63">
      <c r="A63" s="11" t="n">
        <v>62</v>
      </c>
      <c r="B63" s="10" t="inlineStr">
        <is>
          <t>薪资管理</t>
        </is>
      </c>
      <c r="C63" s="8" t="inlineStr">
        <is>
          <t>薪资标准分页（F-05-01）：GET /api/salary-standards/page</t>
        </is>
      </c>
      <c r="D63" s="11" t="inlineStr">
        <is>
          <t>GET</t>
        </is>
      </c>
      <c r="E63" s="17" t="inlineStr">
        <is>
          <t>/api/salary-standards/page</t>
        </is>
      </c>
      <c r="F63" s="10" t="inlineStr">
        <is>
          <t>params</t>
        </is>
      </c>
      <c r="G63" s="8" t="inlineStr">
        <is>
          <t>salary_standard</t>
        </is>
      </c>
      <c r="H63" s="8" t="inlineStr">
        <is>
          <t>薪资标准 /salary/standard</t>
        </is>
      </c>
      <c r="I63" s="10" t="inlineStr">
        <is>
          <t>人事专员</t>
        </is>
      </c>
      <c r="J63" s="11" t="inlineStr">
        <is>
          <t>已实现</t>
        </is>
      </c>
      <c r="K63" s="18" t="inlineStr">
        <is>
          <t>通过</t>
        </is>
      </c>
    </row>
    <row r="64">
      <c r="A64" s="11" t="n">
        <v>63</v>
      </c>
      <c r="B64" s="10" t="inlineStr">
        <is>
          <t>薪资管理</t>
        </is>
      </c>
      <c r="C64" s="8" t="inlineStr">
        <is>
          <t>新增薪资标准：POST /api/salary-standards</t>
        </is>
      </c>
      <c r="D64" s="11" t="inlineStr">
        <is>
          <t>POST</t>
        </is>
      </c>
      <c r="E64" s="17" t="inlineStr">
        <is>
          <t>/api/salary-standards</t>
        </is>
      </c>
      <c r="F64" s="10" t="inlineStr">
        <is>
          <t>data</t>
        </is>
      </c>
      <c r="G64" s="8" t="inlineStr">
        <is>
          <t>salary_standard</t>
        </is>
      </c>
      <c r="H64" s="8" t="inlineStr">
        <is>
          <t>薪资标准 /salary/standard</t>
        </is>
      </c>
      <c r="I64" s="10" t="inlineStr">
        <is>
          <t>人事专员</t>
        </is>
      </c>
      <c r="J64" s="11" t="inlineStr">
        <is>
          <t>已实现</t>
        </is>
      </c>
      <c r="K64" s="18" t="inlineStr">
        <is>
          <t>通过</t>
        </is>
      </c>
    </row>
    <row r="65">
      <c r="A65" s="11" t="n">
        <v>64</v>
      </c>
      <c r="B65" s="10" t="inlineStr">
        <is>
          <t>薪资管理</t>
        </is>
      </c>
      <c r="C65" s="8" t="inlineStr">
        <is>
          <t>薪资核算记录分页（F-05-02）：GET /api/salary-records/page</t>
        </is>
      </c>
      <c r="D65" s="11" t="inlineStr">
        <is>
          <t>GET</t>
        </is>
      </c>
      <c r="E65" s="17" t="inlineStr">
        <is>
          <t>/api/salary-records/page</t>
        </is>
      </c>
      <c r="F65" s="10" t="inlineStr">
        <is>
          <t>params</t>
        </is>
      </c>
      <c r="G65" s="8" t="inlineStr">
        <is>
          <t>salary_record、employee、dept</t>
        </is>
      </c>
      <c r="H65" s="8" t="inlineStr">
        <is>
          <t>薪资核算 /salary/record</t>
        </is>
      </c>
      <c r="I65" s="10" t="inlineStr">
        <is>
          <t>人事专员、财务人员</t>
        </is>
      </c>
      <c r="J65" s="11" t="inlineStr">
        <is>
          <t>已实现</t>
        </is>
      </c>
      <c r="K65" s="18" t="inlineStr">
        <is>
          <t>通过</t>
        </is>
      </c>
    </row>
    <row r="66">
      <c r="A66" s="11" t="n">
        <v>65</v>
      </c>
      <c r="B66" s="10" t="inlineStr">
        <is>
          <t>薪资管理</t>
        </is>
      </c>
      <c r="C66" s="8" t="inlineStr">
        <is>
          <t>发起月度核算（BR-05-02 考勤未封账禁止核算）：POST /api/salary-records/calculate</t>
        </is>
      </c>
      <c r="D66" s="11" t="inlineStr">
        <is>
          <t>POST</t>
        </is>
      </c>
      <c r="E66" s="17" t="inlineStr">
        <is>
          <t>/api/salary-records/calculate</t>
        </is>
      </c>
      <c r="F66" s="10" t="inlineStr">
        <is>
          <t>data</t>
        </is>
      </c>
      <c r="G66" s="8" t="inlineStr">
        <is>
          <t>salary_record、employee、attendance_month</t>
        </is>
      </c>
      <c r="H66" s="8" t="inlineStr">
        <is>
          <t>薪资核算 /salary/record</t>
        </is>
      </c>
      <c r="I66" s="10" t="inlineStr">
        <is>
          <t>人事专员</t>
        </is>
      </c>
      <c r="J66" s="11" t="inlineStr">
        <is>
          <t>已实现</t>
        </is>
      </c>
      <c r="K66" s="18" t="inlineStr">
        <is>
          <t>通过</t>
        </is>
      </c>
    </row>
    <row r="67">
      <c r="A67" s="11" t="n">
        <v>66</v>
      </c>
      <c r="B67" s="10" t="inlineStr">
        <is>
          <t>薪资管理</t>
        </is>
      </c>
      <c r="C67" s="8" t="inlineStr">
        <is>
          <t>复核（BR-05-03 复核人≠核算人）：PUT /api/salary-records/{id}/review</t>
        </is>
      </c>
      <c r="D67" s="11" t="inlineStr">
        <is>
          <t>PUT</t>
        </is>
      </c>
      <c r="E67" s="17" t="inlineStr">
        <is>
          <t>/api/salary-records/${id}/review</t>
        </is>
      </c>
      <c r="F67" s="10" t="inlineStr">
        <is>
          <t>id</t>
        </is>
      </c>
      <c r="G67" s="8" t="inlineStr">
        <is>
          <t>salary_record</t>
        </is>
      </c>
      <c r="H67" s="8" t="inlineStr">
        <is>
          <t>薪资核算 /salary/record</t>
        </is>
      </c>
      <c r="I67" s="10" t="inlineStr">
        <is>
          <t>财务人员</t>
        </is>
      </c>
      <c r="J67" s="11" t="inlineStr">
        <is>
          <t>已实现</t>
        </is>
      </c>
      <c r="K67" s="18" t="inlineStr">
        <is>
          <t>通过</t>
        </is>
      </c>
    </row>
    <row r="68">
      <c r="A68" s="11" t="n">
        <v>67</v>
      </c>
      <c r="B68" s="10" t="inlineStr">
        <is>
          <t>薪资管理</t>
        </is>
      </c>
      <c r="C68" s="8" t="inlineStr">
        <is>
          <t>发放（F-05-03）：PUT /api/salary-records/{id}/pay</t>
        </is>
      </c>
      <c r="D68" s="11" t="inlineStr">
        <is>
          <t>PUT</t>
        </is>
      </c>
      <c r="E68" s="17" t="inlineStr">
        <is>
          <t>/api/salary-records/${id}/pay</t>
        </is>
      </c>
      <c r="F68" s="10" t="inlineStr">
        <is>
          <t>id, data</t>
        </is>
      </c>
      <c r="G68" s="8" t="inlineStr">
        <is>
          <t>salary_record</t>
        </is>
      </c>
      <c r="H68" s="8" t="inlineStr">
        <is>
          <t>薪资核算 /salary/record</t>
        </is>
      </c>
      <c r="I68" s="10" t="inlineStr">
        <is>
          <t>财务人员</t>
        </is>
      </c>
      <c r="J68" s="11" t="inlineStr">
        <is>
          <t>已实现</t>
        </is>
      </c>
      <c r="K68" s="18" t="inlineStr">
        <is>
          <t>通过</t>
        </is>
      </c>
    </row>
    <row r="69">
      <c r="A69" s="11" t="n">
        <v>68</v>
      </c>
      <c r="B69" s="10" t="inlineStr">
        <is>
          <t>薪资管理</t>
        </is>
      </c>
      <c r="C69" s="8" t="inlineStr">
        <is>
          <t>我的薪资条（F-05-06）：GET /api/salary/payslips/my</t>
        </is>
      </c>
      <c r="D69" s="11" t="inlineStr">
        <is>
          <t>GET</t>
        </is>
      </c>
      <c r="E69" s="17" t="inlineStr">
        <is>
          <t>/api/salary/payslips/my</t>
        </is>
      </c>
      <c r="F69" s="10" t="inlineStr">
        <is>
          <t>—</t>
        </is>
      </c>
      <c r="G69" s="8" t="inlineStr">
        <is>
          <t>salary_record、employee</t>
        </is>
      </c>
      <c r="H69" s="8" t="inlineStr">
        <is>
          <t>我的薪资条 /salary/payslip</t>
        </is>
      </c>
      <c r="I69" s="10" t="inlineStr">
        <is>
          <t>人事专员、普通员工</t>
        </is>
      </c>
      <c r="J69" s="11" t="inlineStr">
        <is>
          <t>已实现</t>
        </is>
      </c>
      <c r="K69" s="18" t="inlineStr">
        <is>
          <t>通过</t>
        </is>
      </c>
    </row>
    <row r="70">
      <c r="A70" s="11" t="n">
        <v>69</v>
      </c>
      <c r="B70" s="10" t="inlineStr">
        <is>
          <t>薪资管理</t>
        </is>
      </c>
      <c r="C70" s="8" t="inlineStr">
        <is>
          <t>薪资条明细（salary_item）：GET /api/salary/payslips/{recordId}/items</t>
        </is>
      </c>
      <c r="D70" s="11" t="inlineStr">
        <is>
          <t>GET</t>
        </is>
      </c>
      <c r="E70" s="17" t="inlineStr">
        <is>
          <t>/api/salary/payslips/${recordId}/items</t>
        </is>
      </c>
      <c r="F70" s="10" t="inlineStr">
        <is>
          <t>recordId</t>
        </is>
      </c>
      <c r="G70" s="8" t="inlineStr">
        <is>
          <t>salary_item、salary_record</t>
        </is>
      </c>
      <c r="H70" s="8" t="inlineStr">
        <is>
          <t>我的薪资条 /salary/payslip</t>
        </is>
      </c>
      <c r="I70" s="10" t="inlineStr">
        <is>
          <t>人事专员、普通员工</t>
        </is>
      </c>
      <c r="J70" s="11" t="inlineStr">
        <is>
          <t>已实现</t>
        </is>
      </c>
      <c r="K70" s="18" t="inlineStr">
        <is>
          <t>通过</t>
        </is>
      </c>
    </row>
    <row r="71">
      <c r="A71" s="11" t="n">
        <v>70</v>
      </c>
      <c r="B71" s="10" t="inlineStr">
        <is>
          <t>系统设置</t>
        </is>
      </c>
      <c r="C71" s="8" t="inlineStr">
        <is>
          <t>---------------- 用户管理（F-09-01） ----------------</t>
        </is>
      </c>
      <c r="D71" s="11" t="inlineStr">
        <is>
          <t>GET</t>
        </is>
      </c>
      <c r="E71" s="17" t="inlineStr">
        <is>
          <t>/api/sys/users/page</t>
        </is>
      </c>
      <c r="F71" s="10" t="inlineStr">
        <is>
          <t>params</t>
        </is>
      </c>
      <c r="G71" s="8" t="inlineStr">
        <is>
          <t>sys_user、sys_user_role、sys_role、employee</t>
        </is>
      </c>
      <c r="H71" s="8" t="inlineStr">
        <is>
          <t>用户管理 /system/user</t>
        </is>
      </c>
      <c r="I71" s="10" t="inlineStr">
        <is>
          <t>系统管理员</t>
        </is>
      </c>
      <c r="J71" s="11" t="inlineStr">
        <is>
          <t>已实现</t>
        </is>
      </c>
      <c r="K71" s="18" t="inlineStr">
        <is>
          <t>通过</t>
        </is>
      </c>
    </row>
    <row r="72">
      <c r="A72" s="11" t="n">
        <v>71</v>
      </c>
      <c r="B72" s="10" t="inlineStr">
        <is>
          <t>系统设置</t>
        </is>
      </c>
      <c r="C72" s="8" t="inlineStr">
        <is>
          <t>用户管理（F-09-01） · createSysUser</t>
        </is>
      </c>
      <c r="D72" s="11" t="inlineStr">
        <is>
          <t>POST</t>
        </is>
      </c>
      <c r="E72" s="17" t="inlineStr">
        <is>
          <t>/api/sys/users</t>
        </is>
      </c>
      <c r="F72" s="10" t="inlineStr">
        <is>
          <t>data</t>
        </is>
      </c>
      <c r="G72" s="8" t="inlineStr">
        <is>
          <t>sys_user、sys_user_role、employee</t>
        </is>
      </c>
      <c r="H72" s="8" t="inlineStr">
        <is>
          <t>用户管理 /system/user</t>
        </is>
      </c>
      <c r="I72" s="10" t="inlineStr">
        <is>
          <t>系统管理员</t>
        </is>
      </c>
      <c r="J72" s="11" t="inlineStr">
        <is>
          <t>已实现</t>
        </is>
      </c>
      <c r="K72" s="18" t="inlineStr">
        <is>
          <t>通过</t>
        </is>
      </c>
    </row>
    <row r="73">
      <c r="A73" s="11" t="n">
        <v>72</v>
      </c>
      <c r="B73" s="10" t="inlineStr">
        <is>
          <t>系统设置</t>
        </is>
      </c>
      <c r="C73" s="8" t="inlineStr">
        <is>
          <t>用户管理（F-09-01） · updateSysUser</t>
        </is>
      </c>
      <c r="D73" s="11" t="inlineStr">
        <is>
          <t>PUT</t>
        </is>
      </c>
      <c r="E73" s="17" t="inlineStr">
        <is>
          <t>/api/sys/users/${id}</t>
        </is>
      </c>
      <c r="F73" s="10" t="inlineStr">
        <is>
          <t>id, data</t>
        </is>
      </c>
      <c r="G73" s="8" t="inlineStr">
        <is>
          <t>sys_user、sys_user_role</t>
        </is>
      </c>
      <c r="H73" s="8" t="inlineStr">
        <is>
          <t>用户管理 /system/user</t>
        </is>
      </c>
      <c r="I73" s="10" t="inlineStr">
        <is>
          <t>系统管理员</t>
        </is>
      </c>
      <c r="J73" s="11" t="inlineStr">
        <is>
          <t>已实现</t>
        </is>
      </c>
      <c r="K73" s="18" t="inlineStr">
        <is>
          <t>通过</t>
        </is>
      </c>
    </row>
    <row r="74">
      <c r="A74" s="11" t="n">
        <v>73</v>
      </c>
      <c r="B74" s="10" t="inlineStr">
        <is>
          <t>系统设置</t>
        </is>
      </c>
      <c r="C74" s="8" t="inlineStr">
        <is>
          <t>用户管理（F-09-01） · resetSysUserPassword</t>
        </is>
      </c>
      <c r="D74" s="11" t="inlineStr">
        <is>
          <t>PUT</t>
        </is>
      </c>
      <c r="E74" s="17" t="inlineStr">
        <is>
          <t>/api/sys/users/${id}/password/reset</t>
        </is>
      </c>
      <c r="F74" s="10" t="inlineStr">
        <is>
          <t>id</t>
        </is>
      </c>
      <c r="G74" s="8" t="inlineStr">
        <is>
          <t>sys_user</t>
        </is>
      </c>
      <c r="H74" s="8" t="inlineStr">
        <is>
          <t>用户管理 /system/user</t>
        </is>
      </c>
      <c r="I74" s="10" t="inlineStr">
        <is>
          <t>系统管理员</t>
        </is>
      </c>
      <c r="J74" s="11" t="inlineStr">
        <is>
          <t>已实现</t>
        </is>
      </c>
      <c r="K74" s="18" t="inlineStr">
        <is>
          <t>通过</t>
        </is>
      </c>
    </row>
    <row r="75">
      <c r="A75" s="11" t="n">
        <v>74</v>
      </c>
      <c r="B75" s="10" t="inlineStr">
        <is>
          <t>系统设置</t>
        </is>
      </c>
      <c r="C75" s="8" t="inlineStr">
        <is>
          <t>用户管理（F-09-01） · deleteSysUser</t>
        </is>
      </c>
      <c r="D75" s="11" t="inlineStr">
        <is>
          <t>DELETE</t>
        </is>
      </c>
      <c r="E75" s="17" t="inlineStr">
        <is>
          <t>/api/sys/users/${id}</t>
        </is>
      </c>
      <c r="F75" s="10" t="inlineStr">
        <is>
          <t>id</t>
        </is>
      </c>
      <c r="G75" s="8" t="inlineStr">
        <is>
          <t>sys_user、sys_user_role</t>
        </is>
      </c>
      <c r="H75" s="8" t="inlineStr">
        <is>
          <t>用户管理 /system/user</t>
        </is>
      </c>
      <c r="I75" s="10" t="inlineStr">
        <is>
          <t>系统管理员</t>
        </is>
      </c>
      <c r="J75" s="11" t="inlineStr">
        <is>
          <t>已实现</t>
        </is>
      </c>
      <c r="K75" s="18" t="inlineStr">
        <is>
          <t>通过</t>
        </is>
      </c>
    </row>
    <row r="76">
      <c r="A76" s="11" t="n">
        <v>75</v>
      </c>
      <c r="B76" s="10" t="inlineStr">
        <is>
          <t>系统设置</t>
        </is>
      </c>
      <c r="C76" s="8" t="inlineStr">
        <is>
          <t>---------------- 角色权限（F-09-02） ----------------</t>
        </is>
      </c>
      <c r="D76" s="11" t="inlineStr">
        <is>
          <t>GET</t>
        </is>
      </c>
      <c r="E76" s="17" t="inlineStr">
        <is>
          <t>/api/sys/roles</t>
        </is>
      </c>
      <c r="F76" s="10" t="inlineStr">
        <is>
          <t>params</t>
        </is>
      </c>
      <c r="G76" s="8" t="inlineStr">
        <is>
          <t>sys_role</t>
        </is>
      </c>
      <c r="H76" s="8" t="inlineStr">
        <is>
          <t>角色权限 /system/role</t>
        </is>
      </c>
      <c r="I76" s="10" t="inlineStr">
        <is>
          <t>系统管理员</t>
        </is>
      </c>
      <c r="J76" s="11" t="inlineStr">
        <is>
          <t>已实现</t>
        </is>
      </c>
      <c r="K76" s="18" t="inlineStr">
        <is>
          <t>通过</t>
        </is>
      </c>
    </row>
    <row r="77">
      <c r="A77" s="11" t="n">
        <v>76</v>
      </c>
      <c r="B77" s="10" t="inlineStr">
        <is>
          <t>系统设置</t>
        </is>
      </c>
      <c r="C77" s="8" t="inlineStr">
        <is>
          <t>角色权限（F-09-02） · createRole</t>
        </is>
      </c>
      <c r="D77" s="11" t="inlineStr">
        <is>
          <t>POST</t>
        </is>
      </c>
      <c r="E77" s="17" t="inlineStr">
        <is>
          <t>/api/sys/roles</t>
        </is>
      </c>
      <c r="F77" s="10" t="inlineStr">
        <is>
          <t>data</t>
        </is>
      </c>
      <c r="G77" s="8" t="inlineStr">
        <is>
          <t>sys_role</t>
        </is>
      </c>
      <c r="H77" s="8" t="inlineStr">
        <is>
          <t>角色权限 /system/role</t>
        </is>
      </c>
      <c r="I77" s="10" t="inlineStr">
        <is>
          <t>系统管理员</t>
        </is>
      </c>
      <c r="J77" s="11" t="inlineStr">
        <is>
          <t>已实现</t>
        </is>
      </c>
      <c r="K77" s="18" t="inlineStr">
        <is>
          <t>通过</t>
        </is>
      </c>
    </row>
    <row r="78">
      <c r="A78" s="11" t="n">
        <v>77</v>
      </c>
      <c r="B78" s="10" t="inlineStr">
        <is>
          <t>系统设置</t>
        </is>
      </c>
      <c r="C78" s="8" t="inlineStr">
        <is>
          <t>角色权限（F-09-02） · updateRole</t>
        </is>
      </c>
      <c r="D78" s="11" t="inlineStr">
        <is>
          <t>PUT</t>
        </is>
      </c>
      <c r="E78" s="17" t="inlineStr">
        <is>
          <t>/api/sys/roles/${id}</t>
        </is>
      </c>
      <c r="F78" s="10" t="inlineStr">
        <is>
          <t>id, data</t>
        </is>
      </c>
      <c r="G78" s="8" t="inlineStr">
        <is>
          <t>sys_role</t>
        </is>
      </c>
      <c r="H78" s="8" t="inlineStr">
        <is>
          <t>角色权限 /system/role</t>
        </is>
      </c>
      <c r="I78" s="10" t="inlineStr">
        <is>
          <t>系统管理员</t>
        </is>
      </c>
      <c r="J78" s="11" t="inlineStr">
        <is>
          <t>已实现</t>
        </is>
      </c>
      <c r="K78" s="18" t="inlineStr">
        <is>
          <t>通过</t>
        </is>
      </c>
    </row>
    <row r="79">
      <c r="A79" s="11" t="n">
        <v>78</v>
      </c>
      <c r="B79" s="10" t="inlineStr">
        <is>
          <t>系统设置</t>
        </is>
      </c>
      <c r="C79" s="8" t="inlineStr">
        <is>
          <t>---------------- 数据字典（F-09-04） ----------------</t>
        </is>
      </c>
      <c r="D79" s="11" t="inlineStr">
        <is>
          <t>GET</t>
        </is>
      </c>
      <c r="E79" s="17" t="inlineStr">
        <is>
          <t>/api/sys/dict-types</t>
        </is>
      </c>
      <c r="F79" s="10" t="inlineStr">
        <is>
          <t>—</t>
        </is>
      </c>
      <c r="G79" s="8" t="inlineStr">
        <is>
          <t>sys_dict_type</t>
        </is>
      </c>
      <c r="H79" s="8" t="inlineStr">
        <is>
          <t>数据字典 /system/dict</t>
        </is>
      </c>
      <c r="I79" s="10" t="inlineStr">
        <is>
          <t>系统管理员</t>
        </is>
      </c>
      <c r="J79" s="11" t="inlineStr">
        <is>
          <t>已实现</t>
        </is>
      </c>
      <c r="K79" s="18" t="inlineStr">
        <is>
          <t>通过</t>
        </is>
      </c>
    </row>
    <row r="80">
      <c r="A80" s="11" t="n">
        <v>79</v>
      </c>
      <c r="B80" s="10" t="inlineStr">
        <is>
          <t>系统设置</t>
        </is>
      </c>
      <c r="C80" s="8" t="inlineStr">
        <is>
          <t>数据字典（F-09-04） · getDictItems</t>
        </is>
      </c>
      <c r="D80" s="11" t="inlineStr">
        <is>
          <t>GET</t>
        </is>
      </c>
      <c r="E80" s="17" t="inlineStr">
        <is>
          <t>/api/sys/dict-types/${typeId}/items</t>
        </is>
      </c>
      <c r="F80" s="10" t="inlineStr">
        <is>
          <t>typeId</t>
        </is>
      </c>
      <c r="G80" s="8" t="inlineStr">
        <is>
          <t>sys_dict_item、sys_dict_type</t>
        </is>
      </c>
      <c r="H80" s="8" t="inlineStr">
        <is>
          <t>数据字典 /system/dict</t>
        </is>
      </c>
      <c r="I80" s="10" t="inlineStr">
        <is>
          <t>系统管理员</t>
        </is>
      </c>
      <c r="J80" s="11" t="inlineStr">
        <is>
          <t>已实现</t>
        </is>
      </c>
      <c r="K80" s="18" t="inlineStr">
        <is>
          <t>通过</t>
        </is>
      </c>
    </row>
    <row r="81">
      <c r="A81" s="11" t="n">
        <v>80</v>
      </c>
      <c r="B81" s="10" t="inlineStr">
        <is>
          <t>系统设置</t>
        </is>
      </c>
      <c r="C81" s="8" t="inlineStr">
        <is>
          <t>---------------- 参数配置（F-09-05） ----------------</t>
        </is>
      </c>
      <c r="D81" s="11" t="inlineStr">
        <is>
          <t>GET</t>
        </is>
      </c>
      <c r="E81" s="17" t="inlineStr">
        <is>
          <t>/api/sys/configs</t>
        </is>
      </c>
      <c r="F81" s="10" t="inlineStr">
        <is>
          <t>params</t>
        </is>
      </c>
      <c r="G81" s="8" t="inlineStr">
        <is>
          <t>sys_config</t>
        </is>
      </c>
      <c r="H81" s="8" t="inlineStr">
        <is>
          <t>参数配置 /system/config</t>
        </is>
      </c>
      <c r="I81" s="10" t="inlineStr">
        <is>
          <t>系统管理员</t>
        </is>
      </c>
      <c r="J81" s="11" t="inlineStr">
        <is>
          <t>已实现</t>
        </is>
      </c>
      <c r="K81" s="18" t="inlineStr">
        <is>
          <t>通过</t>
        </is>
      </c>
    </row>
    <row r="82">
      <c r="A82" s="11" t="n">
        <v>81</v>
      </c>
      <c r="B82" s="10" t="inlineStr">
        <is>
          <t>系统设置</t>
        </is>
      </c>
      <c r="C82" s="8" t="inlineStr">
        <is>
          <t>参数配置（F-09-05） · updateConfig</t>
        </is>
      </c>
      <c r="D82" s="11" t="inlineStr">
        <is>
          <t>PUT</t>
        </is>
      </c>
      <c r="E82" s="17" t="inlineStr">
        <is>
          <t>/api/sys/configs/${id}</t>
        </is>
      </c>
      <c r="F82" s="10" t="inlineStr">
        <is>
          <t>id, data</t>
        </is>
      </c>
      <c r="G82" s="8" t="inlineStr">
        <is>
          <t>sys_config</t>
        </is>
      </c>
      <c r="H82" s="8" t="inlineStr">
        <is>
          <t>参数配置 /system/config</t>
        </is>
      </c>
      <c r="I82" s="10" t="inlineStr">
        <is>
          <t>系统管理员</t>
        </is>
      </c>
      <c r="J82" s="11" t="inlineStr">
        <is>
          <t>已实现</t>
        </is>
      </c>
      <c r="K82" s="18" t="inlineStr">
        <is>
          <t>通过</t>
        </is>
      </c>
    </row>
    <row r="83">
      <c r="A83" s="11" t="n">
        <v>82</v>
      </c>
      <c r="B83" s="10" t="inlineStr">
        <is>
          <t>系统设置</t>
        </is>
      </c>
      <c r="C83" s="8" t="inlineStr">
        <is>
          <t>---------------- 日志审计（F-09-06） ----------------</t>
        </is>
      </c>
      <c r="D83" s="11" t="inlineStr">
        <is>
          <t>GET</t>
        </is>
      </c>
      <c r="E83" s="17" t="inlineStr">
        <is>
          <t>/api/sys/logs/login</t>
        </is>
      </c>
      <c r="F83" s="10" t="inlineStr">
        <is>
          <t>params</t>
        </is>
      </c>
      <c r="G83" s="8" t="inlineStr">
        <is>
          <t>sys_login_log、sys_user</t>
        </is>
      </c>
      <c r="H83" s="8" t="inlineStr">
        <is>
          <t>日志审计 /system/log</t>
        </is>
      </c>
      <c r="I83" s="10" t="inlineStr">
        <is>
          <t>系统管理员</t>
        </is>
      </c>
      <c r="J83" s="11" t="inlineStr">
        <is>
          <t>已实现</t>
        </is>
      </c>
      <c r="K83" s="18" t="inlineStr">
        <is>
          <t>通过</t>
        </is>
      </c>
    </row>
    <row r="84">
      <c r="A84" s="11" t="n">
        <v>83</v>
      </c>
      <c r="B84" s="10" t="inlineStr">
        <is>
          <t>系统设置</t>
        </is>
      </c>
      <c r="C84" s="8" t="inlineStr">
        <is>
          <t>日志审计（F-09-06） · pageOperLogs</t>
        </is>
      </c>
      <c r="D84" s="11" t="inlineStr">
        <is>
          <t>GET</t>
        </is>
      </c>
      <c r="E84" s="17" t="inlineStr">
        <is>
          <t>/api/sys/logs/oper</t>
        </is>
      </c>
      <c r="F84" s="10" t="inlineStr">
        <is>
          <t>params</t>
        </is>
      </c>
      <c r="G84" s="8" t="inlineStr">
        <is>
          <t>sys_oper_log、sys_user</t>
        </is>
      </c>
      <c r="H84" s="8" t="inlineStr">
        <is>
          <t>日志审计 /system/log</t>
        </is>
      </c>
      <c r="I84" s="10" t="inlineStr">
        <is>
          <t>系统管理员</t>
        </is>
      </c>
      <c r="J84" s="11" t="inlineStr">
        <is>
          <t>已实现</t>
        </is>
      </c>
      <c r="K84" s="18" t="inlineStr">
        <is>
          <t>通过</t>
        </is>
      </c>
    </row>
    <row r="85">
      <c r="A85" s="11" t="n">
        <v>84</v>
      </c>
      <c r="B85" s="10" t="inlineStr">
        <is>
          <t>通知公告</t>
        </is>
      </c>
      <c r="C85" s="8" t="inlineStr">
        <is>
          <t>---------------- 通知公告（F-01-03，管理端） ----------------</t>
        </is>
      </c>
      <c r="D85" s="11" t="inlineStr">
        <is>
          <t>GET</t>
        </is>
      </c>
      <c r="E85" s="17" t="inlineStr">
        <is>
          <t>/api/notices/page</t>
        </is>
      </c>
      <c r="F85" s="10" t="inlineStr">
        <is>
          <t>params</t>
        </is>
      </c>
      <c r="G85" s="8" t="inlineStr">
        <is>
          <t>notice、notice_read、employee</t>
        </is>
      </c>
      <c r="H85" s="8" t="inlineStr">
        <is>
          <t>通知公告 /notices</t>
        </is>
      </c>
      <c r="I85" s="10" t="inlineStr">
        <is>
          <t>人事专员</t>
        </is>
      </c>
      <c r="J85" s="11" t="inlineStr">
        <is>
          <t>已实现</t>
        </is>
      </c>
      <c r="K85" s="18" t="inlineStr">
        <is>
          <t>通过</t>
        </is>
      </c>
    </row>
    <row r="86">
      <c r="A86" s="11" t="n">
        <v>85</v>
      </c>
      <c r="B86" s="10" t="inlineStr">
        <is>
          <t>通知公告</t>
        </is>
      </c>
      <c r="C86" s="8" t="inlineStr">
        <is>
          <t>通知公告（F-01-03，管理端） · createNotice</t>
        </is>
      </c>
      <c r="D86" s="11" t="inlineStr">
        <is>
          <t>POST</t>
        </is>
      </c>
      <c r="E86" s="17" t="inlineStr">
        <is>
          <t>/api/notices</t>
        </is>
      </c>
      <c r="F86" s="10" t="inlineStr">
        <is>
          <t>data</t>
        </is>
      </c>
      <c r="G86" s="8" t="inlineStr">
        <is>
          <t>notice、employee</t>
        </is>
      </c>
      <c r="H86" s="8" t="inlineStr">
        <is>
          <t>通知公告 /notices</t>
        </is>
      </c>
      <c r="I86" s="10" t="inlineStr">
        <is>
          <t>人事专员</t>
        </is>
      </c>
      <c r="J86" s="11" t="inlineStr">
        <is>
          <t>已实现</t>
        </is>
      </c>
      <c r="K86" s="18" t="inlineStr">
        <is>
          <t>通过</t>
        </is>
      </c>
    </row>
    <row r="87">
      <c r="A87" s="11" t="n">
        <v>86</v>
      </c>
      <c r="B87" s="10" t="inlineStr">
        <is>
          <t>通知公告</t>
        </is>
      </c>
      <c r="C87" s="8" t="inlineStr">
        <is>
          <t>通知公告（F-01-03，管理端） · publishNotice</t>
        </is>
      </c>
      <c r="D87" s="11" t="inlineStr">
        <is>
          <t>PUT</t>
        </is>
      </c>
      <c r="E87" s="17" t="inlineStr">
        <is>
          <t>/api/notices/${id}/publish</t>
        </is>
      </c>
      <c r="F87" s="10" t="inlineStr">
        <is>
          <t>id</t>
        </is>
      </c>
      <c r="G87" s="8" t="inlineStr">
        <is>
          <t>notice</t>
        </is>
      </c>
      <c r="H87" s="8" t="inlineStr">
        <is>
          <t>通知公告 /notices</t>
        </is>
      </c>
      <c r="I87" s="10" t="inlineStr">
        <is>
          <t>人事专员</t>
        </is>
      </c>
      <c r="J87" s="11" t="inlineStr">
        <is>
          <t>已实现</t>
        </is>
      </c>
      <c r="K87" s="18" t="inlineStr">
        <is>
          <t>通过</t>
        </is>
      </c>
    </row>
    <row r="88">
      <c r="A88" s="11" t="n">
        <v>87</v>
      </c>
      <c r="B88" s="10" t="inlineStr">
        <is>
          <t>通知公告</t>
        </is>
      </c>
      <c r="C88" s="8" t="inlineStr">
        <is>
          <t>通知公告（F-01-03，管理端） · offlineNotice</t>
        </is>
      </c>
      <c r="D88" s="11" t="inlineStr">
        <is>
          <t>PUT</t>
        </is>
      </c>
      <c r="E88" s="17" t="inlineStr">
        <is>
          <t>/api/notices/${id}/offline</t>
        </is>
      </c>
      <c r="F88" s="10" t="inlineStr">
        <is>
          <t>id</t>
        </is>
      </c>
      <c r="G88" s="8" t="inlineStr">
        <is>
          <t>notice</t>
        </is>
      </c>
      <c r="H88" s="8" t="inlineStr">
        <is>
          <t>通知公告 /notices</t>
        </is>
      </c>
      <c r="I88" s="10" t="inlineStr">
        <is>
          <t>人事专员</t>
        </is>
      </c>
      <c r="J88" s="11" t="inlineStr">
        <is>
          <t>已实现</t>
        </is>
      </c>
      <c r="K88" s="18" t="inlineStr">
        <is>
          <t>通过</t>
        </is>
      </c>
    </row>
    <row r="89">
      <c r="A89" s="11" t="n">
        <v>88</v>
      </c>
      <c r="B89" s="10" t="inlineStr">
        <is>
          <t>培训管理</t>
        </is>
      </c>
      <c r="C89" s="8" t="inlineStr">
        <is>
          <t>培训计划分页（F-07-01）：GET /api/training-plans/page</t>
        </is>
      </c>
      <c r="D89" s="11" t="inlineStr">
        <is>
          <t>GET</t>
        </is>
      </c>
      <c r="E89" s="17" t="inlineStr">
        <is>
          <t>/api/training-plans/page</t>
        </is>
      </c>
      <c r="F89" s="10" t="inlineStr">
        <is>
          <t>params</t>
        </is>
      </c>
      <c r="G89" s="8" t="inlineStr">
        <is>
          <t>training_plan、course、training_enroll</t>
        </is>
      </c>
      <c r="H89" s="8" t="inlineStr">
        <is>
          <t>培训计划 /training/plan</t>
        </is>
      </c>
      <c r="I89" s="10" t="inlineStr">
        <is>
          <t>人事专员</t>
        </is>
      </c>
      <c r="J89" s="11" t="inlineStr">
        <is>
          <t>已实现</t>
        </is>
      </c>
      <c r="K89" s="18" t="inlineStr">
        <is>
          <t>通过</t>
        </is>
      </c>
    </row>
    <row r="90">
      <c r="A90" s="11" t="n">
        <v>89</v>
      </c>
      <c r="B90" s="10" t="inlineStr">
        <is>
          <t>培训管理</t>
        </is>
      </c>
      <c r="C90" s="8" t="inlineStr">
        <is>
          <t>新增培训计划：POST /api/training-plans</t>
        </is>
      </c>
      <c r="D90" s="11" t="inlineStr">
        <is>
          <t>POST</t>
        </is>
      </c>
      <c r="E90" s="17" t="inlineStr">
        <is>
          <t>/api/training-plans</t>
        </is>
      </c>
      <c r="F90" s="10" t="inlineStr">
        <is>
          <t>data</t>
        </is>
      </c>
      <c r="G90" s="8" t="inlineStr">
        <is>
          <t>training_plan、employee</t>
        </is>
      </c>
      <c r="H90" s="8" t="inlineStr">
        <is>
          <t>培训计划 /training/plan</t>
        </is>
      </c>
      <c r="I90" s="10" t="inlineStr">
        <is>
          <t>人事专员</t>
        </is>
      </c>
      <c r="J90" s="11" t="inlineStr">
        <is>
          <t>已实现</t>
        </is>
      </c>
      <c r="K90" s="18" t="inlineStr">
        <is>
          <t>通过</t>
        </is>
      </c>
    </row>
    <row r="91">
      <c r="A91" s="11" t="n">
        <v>90</v>
      </c>
      <c r="B91" s="10" t="inlineStr">
        <is>
          <t>培训管理</t>
        </is>
      </c>
      <c r="C91" s="8" t="inlineStr">
        <is>
          <t>报名（BR-07-01 满员自动关闭）：POST /api/training-plans/{id}/enroll</t>
        </is>
      </c>
      <c r="D91" s="11" t="inlineStr">
        <is>
          <t>POST</t>
        </is>
      </c>
      <c r="E91" s="17" t="inlineStr">
        <is>
          <t>/api/training-plans/${id}/enroll</t>
        </is>
      </c>
      <c r="F91" s="10" t="inlineStr">
        <is>
          <t>id</t>
        </is>
      </c>
      <c r="G91" s="8" t="inlineStr">
        <is>
          <t>training_enroll、training_plan、course</t>
        </is>
      </c>
      <c r="H91" s="8" t="inlineStr">
        <is>
          <t>培训计划 /training/plan</t>
        </is>
      </c>
      <c r="I91" s="10" t="inlineStr">
        <is>
          <t>普通员工</t>
        </is>
      </c>
      <c r="J91" s="11" t="inlineStr">
        <is>
          <t>已实现</t>
        </is>
      </c>
      <c r="K91" s="18" t="inlineStr">
        <is>
          <t>通过</t>
        </is>
      </c>
    </row>
    <row r="92">
      <c r="A92" s="11" t="n">
        <v>91</v>
      </c>
      <c r="B92" s="10" t="inlineStr">
        <is>
          <t>培训管理</t>
        </is>
      </c>
      <c r="C92" s="8" t="inlineStr">
        <is>
          <t>我的培训档案（F-07-06 员工自助查看）：GET /api/training/my</t>
        </is>
      </c>
      <c r="D92" s="11" t="inlineStr">
        <is>
          <t>GET</t>
        </is>
      </c>
      <c r="E92" s="17" t="inlineStr">
        <is>
          <t>/api/training/my</t>
        </is>
      </c>
      <c r="F92" s="10" t="inlineStr">
        <is>
          <t>—</t>
        </is>
      </c>
      <c r="G92" s="8" t="inlineStr">
        <is>
          <t>training_record、training_enroll、training_plan</t>
        </is>
      </c>
      <c r="H92" s="8" t="inlineStr">
        <is>
          <t>我的培训 /training/my</t>
        </is>
      </c>
      <c r="I92" s="10" t="inlineStr">
        <is>
          <t>普通员工</t>
        </is>
      </c>
      <c r="J92" s="11" t="inlineStr">
        <is>
          <t>已实现</t>
        </is>
      </c>
      <c r="K92" s="18" t="inlineStr">
        <is>
          <t>通过</t>
        </is>
      </c>
    </row>
  </sheetData>
  <autoFilter ref="A1:K92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10" customWidth="1" min="5" max="5"/>
    <col width="34" customWidth="1" min="6" max="6"/>
    <col width="34" customWidth="1" min="7" max="7"/>
    <col width="16" customWidth="1" min="8" max="8"/>
    <col width="9" customWidth="1" min="9" max="9"/>
    <col width="22" customWidth="1" min="10" max="10"/>
    <col width="10" customWidth="1" min="11" max="11"/>
    <col width="46" customWidth="1" min="12" max="12"/>
  </cols>
  <sheetData>
    <row r="1" ht="26" customHeight="1">
      <c r="A1" s="9" t="inlineStr">
        <is>
          <t>用例编号</t>
        </is>
      </c>
      <c r="B1" s="9" t="inlineStr">
        <is>
          <t>业务模块</t>
        </is>
      </c>
      <c r="C1" s="9" t="inlineStr">
        <is>
          <t>使用页面</t>
        </is>
      </c>
      <c r="D1" s="9" t="inlineStr">
        <is>
          <t>角色</t>
        </is>
      </c>
      <c r="E1" s="9" t="inlineStr">
        <is>
          <t>请求方法</t>
        </is>
      </c>
      <c r="F1" s="9" t="inlineStr">
        <is>
          <t>请求地址</t>
        </is>
      </c>
      <c r="G1" s="9" t="inlineStr">
        <is>
          <t>用例说明</t>
        </is>
      </c>
      <c r="H1" s="9" t="inlineStr">
        <is>
          <t>预期</t>
        </is>
      </c>
      <c r="I1" s="9" t="inlineStr">
        <is>
          <t>是否通过</t>
        </is>
      </c>
      <c r="J1" s="9" t="inlineStr">
        <is>
          <t>实测结果</t>
        </is>
      </c>
      <c r="K1" s="9" t="inlineStr">
        <is>
          <t>耗时(ms)</t>
        </is>
      </c>
      <c r="L1" s="9" t="inlineStr">
        <is>
          <t>说明/数据摘要</t>
        </is>
      </c>
    </row>
    <row r="2">
      <c r="A2" s="11" t="inlineStr">
        <is>
          <t>TC-001</t>
        </is>
      </c>
      <c r="B2" s="10" t="inlineStr">
        <is>
          <t>认证</t>
        </is>
      </c>
      <c r="C2" s="8" t="inlineStr">
        <is>
          <t>登录页 /login</t>
        </is>
      </c>
      <c r="D2" s="11" t="inlineStr">
        <is>
          <t>未登录</t>
        </is>
      </c>
      <c r="E2" s="11" t="inlineStr">
        <is>
          <t>POST</t>
        </is>
      </c>
      <c r="F2" s="17" t="inlineStr">
        <is>
          <t>/api/auth/login</t>
        </is>
      </c>
      <c r="G2" s="8" t="inlineStr">
        <is>
          <t>登录（签发令牌）</t>
        </is>
      </c>
      <c r="H2" s="11" t="inlineStr">
        <is>
          <t>返回成功数据</t>
        </is>
      </c>
      <c r="I2" s="11" t="inlineStr">
        <is>
          <t>是</t>
        </is>
      </c>
      <c r="J2" s="8" t="inlineStr">
        <is>
          <t>通过</t>
        </is>
      </c>
      <c r="K2" s="11" t="n">
        <v>237</v>
      </c>
      <c r="L2" s="8" t="inlineStr">
        <is>
          <t>2 字段：token,user</t>
        </is>
      </c>
    </row>
    <row r="3">
      <c r="A3" s="11" t="inlineStr">
        <is>
          <t>TC-002</t>
        </is>
      </c>
      <c r="B3" s="10" t="inlineStr">
        <is>
          <t>认证</t>
        </is>
      </c>
      <c r="C3" s="8" t="inlineStr">
        <is>
          <t>守卫 permission.js</t>
        </is>
      </c>
      <c r="D3" s="11" t="inlineStr">
        <is>
          <t>人事专员</t>
        </is>
      </c>
      <c r="E3" s="11" t="inlineStr">
        <is>
          <t>GET</t>
        </is>
      </c>
      <c r="F3" s="17" t="inlineStr">
        <is>
          <t>/api/auth/me</t>
        </is>
      </c>
      <c r="G3" s="8" t="inlineStr">
        <is>
          <t>当前登录用户信息</t>
        </is>
      </c>
      <c r="H3" s="11" t="inlineStr">
        <is>
          <t>返回成功数据</t>
        </is>
      </c>
      <c r="I3" s="11" t="inlineStr">
        <is>
          <t>是</t>
        </is>
      </c>
      <c r="J3" s="8" t="inlineStr">
        <is>
          <t>通过</t>
        </is>
      </c>
      <c r="K3" s="11" t="n">
        <v>290</v>
      </c>
      <c r="L3" s="8" t="inlineStr">
        <is>
          <t>7 字段：id,username,realName,employeeId,deptId,roles</t>
        </is>
      </c>
    </row>
    <row r="4">
      <c r="A4" s="11" t="inlineStr">
        <is>
          <t>TC-003</t>
        </is>
      </c>
      <c r="B4" s="10" t="inlineStr">
        <is>
          <t>认证</t>
        </is>
      </c>
      <c r="C4" s="8" t="inlineStr">
        <is>
          <t>登录页 /login</t>
        </is>
      </c>
      <c r="D4" s="11" t="inlineStr">
        <is>
          <t>人事专员</t>
        </is>
      </c>
      <c r="E4" s="11" t="inlineStr">
        <is>
          <t>POST</t>
        </is>
      </c>
      <c r="F4" s="17" t="inlineStr">
        <is>
          <t>/api/auth/login</t>
        </is>
      </c>
      <c r="G4" s="8" t="inlineStr">
        <is>
          <t>密码错误应被拒绝</t>
        </is>
      </c>
      <c r="H4" s="11" t="inlineStr">
        <is>
          <t>业务规则拦截</t>
        </is>
      </c>
      <c r="I4" s="11" t="inlineStr">
        <is>
          <t>是</t>
        </is>
      </c>
      <c r="J4" s="8" t="inlineStr">
        <is>
          <t>通过（业务规则已拦截）</t>
        </is>
      </c>
      <c r="K4" s="11" t="n">
        <v>341</v>
      </c>
      <c r="L4" s="8" t="inlineStr">
        <is>
          <t>用户名或密码错误</t>
        </is>
      </c>
    </row>
    <row r="5">
      <c r="A5" s="11" t="inlineStr">
        <is>
          <t>TC-004</t>
        </is>
      </c>
      <c r="B5" s="10" t="inlineStr">
        <is>
          <t>首页看板</t>
        </is>
      </c>
      <c r="C5" s="8" t="inlineStr">
        <is>
          <t>首页 /dashboard</t>
        </is>
      </c>
      <c r="D5" s="11" t="inlineStr">
        <is>
          <t>人事专员</t>
        </is>
      </c>
      <c r="E5" s="11" t="inlineStr">
        <is>
          <t>GET</t>
        </is>
      </c>
      <c r="F5" s="17" t="inlineStr">
        <is>
          <t>/api/dashboard/summary</t>
        </is>
      </c>
      <c r="G5" s="8" t="inlineStr">
        <is>
          <t>指标卡（全量数据范围）</t>
        </is>
      </c>
      <c r="H5" s="11" t="inlineStr">
        <is>
          <t>返回成功数据</t>
        </is>
      </c>
      <c r="I5" s="11" t="inlineStr">
        <is>
          <t>是</t>
        </is>
      </c>
      <c r="J5" s="8" t="inlineStr">
        <is>
          <t>通过</t>
        </is>
      </c>
      <c r="K5" s="11" t="n">
        <v>289</v>
      </c>
      <c r="L5" s="8" t="inlineStr">
        <is>
          <t>8 字段：totalEmployees,monthHired,monthLeft,deptCount,headcountLimit,attendanceAbnormal</t>
        </is>
      </c>
    </row>
    <row r="6">
      <c r="A6" s="11" t="inlineStr">
        <is>
          <t>TC-005</t>
        </is>
      </c>
      <c r="B6" s="10" t="inlineStr">
        <is>
          <t>首页看板</t>
        </is>
      </c>
      <c r="C6" s="8" t="inlineStr">
        <is>
          <t>首页 /dashboard</t>
        </is>
      </c>
      <c r="D6" s="11" t="inlineStr">
        <is>
          <t>人事专员</t>
        </is>
      </c>
      <c r="E6" s="11" t="inlineStr">
        <is>
          <t>GET</t>
        </is>
      </c>
      <c r="F6" s="17" t="inlineStr">
        <is>
          <t>/api/dashboard/todos</t>
        </is>
      </c>
      <c r="G6" s="8" t="inlineStr">
        <is>
          <t>待办事项</t>
        </is>
      </c>
      <c r="H6" s="11" t="inlineStr">
        <is>
          <t>返回成功数据</t>
        </is>
      </c>
      <c r="I6" s="11" t="inlineStr">
        <is>
          <t>是</t>
        </is>
      </c>
      <c r="J6" s="8" t="inlineStr">
        <is>
          <t>通过</t>
        </is>
      </c>
      <c r="K6" s="11" t="n">
        <v>330</v>
      </c>
      <c r="L6" s="8" t="inlineStr">
        <is>
          <t>total=2, records=2</t>
        </is>
      </c>
    </row>
    <row r="7">
      <c r="A7" s="11" t="inlineStr">
        <is>
          <t>TC-006</t>
        </is>
      </c>
      <c r="B7" s="10" t="inlineStr">
        <is>
          <t>首页看板</t>
        </is>
      </c>
      <c r="C7" s="8" t="inlineStr">
        <is>
          <t>首页 /dashboard</t>
        </is>
      </c>
      <c r="D7" s="11" t="inlineStr">
        <is>
          <t>人事专员</t>
        </is>
      </c>
      <c r="E7" s="11" t="inlineStr">
        <is>
          <t>GET</t>
        </is>
      </c>
      <c r="F7" s="17" t="inlineStr">
        <is>
          <t>/api/dashboard/notices</t>
        </is>
      </c>
      <c r="G7" s="8" t="inlineStr">
        <is>
          <t>通知公告（看板）</t>
        </is>
      </c>
      <c r="H7" s="11" t="inlineStr">
        <is>
          <t>返回成功数据</t>
        </is>
      </c>
      <c r="I7" s="11" t="inlineStr">
        <is>
          <t>是</t>
        </is>
      </c>
      <c r="J7" s="8" t="inlineStr">
        <is>
          <t>通过</t>
        </is>
      </c>
      <c r="K7" s="11" t="n">
        <v>266</v>
      </c>
      <c r="L7" s="8" t="inlineStr">
        <is>
          <t>total=5, records=5</t>
        </is>
      </c>
    </row>
    <row r="8">
      <c r="A8" s="11" t="inlineStr">
        <is>
          <t>TC-007</t>
        </is>
      </c>
      <c r="B8" s="10" t="inlineStr">
        <is>
          <t>首页看板</t>
        </is>
      </c>
      <c r="C8" s="8" t="inlineStr">
        <is>
          <t>首页 /dashboard</t>
        </is>
      </c>
      <c r="D8" s="11" t="inlineStr">
        <is>
          <t>人事专员</t>
        </is>
      </c>
      <c r="E8" s="11" t="inlineStr">
        <is>
          <t>GET</t>
        </is>
      </c>
      <c r="F8" s="17" t="inlineStr">
        <is>
          <t>/api/dashboard/charts</t>
        </is>
      </c>
      <c r="G8" s="8" t="inlineStr">
        <is>
          <t>图表分析（折线/环形）</t>
        </is>
      </c>
      <c r="H8" s="11" t="inlineStr">
        <is>
          <t>返回成功数据</t>
        </is>
      </c>
      <c r="I8" s="11" t="inlineStr">
        <is>
          <t>是</t>
        </is>
      </c>
      <c r="J8" s="8" t="inlineStr">
        <is>
          <t>通过</t>
        </is>
      </c>
      <c r="K8" s="11" t="n">
        <v>250</v>
      </c>
      <c r="L8" s="8" t="inlineStr">
        <is>
          <t>3 字段：deptDistribution,trend,perfGrades</t>
        </is>
      </c>
    </row>
    <row r="9">
      <c r="A9" s="11" t="inlineStr">
        <is>
          <t>TC-008</t>
        </is>
      </c>
      <c r="B9" s="10" t="inlineStr">
        <is>
          <t>首页看板</t>
        </is>
      </c>
      <c r="C9" s="8" t="inlineStr">
        <is>
          <t>首页 /dashboard</t>
        </is>
      </c>
      <c r="D9" s="11" t="inlineStr">
        <is>
          <t>人事专员</t>
        </is>
      </c>
      <c r="E9" s="11" t="inlineStr">
        <is>
          <t>PUT</t>
        </is>
      </c>
      <c r="F9" s="17" t="inlineStr">
        <is>
          <t>/api/dashboard/todos/:id/handle</t>
        </is>
      </c>
      <c r="G9" s="8" t="inlineStr">
        <is>
          <t>处理待办</t>
        </is>
      </c>
      <c r="H9" s="11" t="inlineStr">
        <is>
          <t>返回成功数据</t>
        </is>
      </c>
      <c r="I9" s="11" t="inlineStr">
        <is>
          <t>是</t>
        </is>
      </c>
      <c r="J9" s="8" t="inlineStr">
        <is>
          <t>通过</t>
        </is>
      </c>
      <c r="K9" s="11" t="n">
        <v>249</v>
      </c>
      <c r="L9" s="8" t="inlineStr">
        <is>
          <t>success=true</t>
        </is>
      </c>
    </row>
    <row r="10">
      <c r="A10" s="11" t="inlineStr">
        <is>
          <t>TC-009</t>
        </is>
      </c>
      <c r="B10" s="10" t="inlineStr">
        <is>
          <t>员工档案</t>
        </is>
      </c>
      <c r="C10" s="8" t="inlineStr">
        <is>
          <t>员工档案 /employee</t>
        </is>
      </c>
      <c r="D10" s="11" t="inlineStr">
        <is>
          <t>人事专员</t>
        </is>
      </c>
      <c r="E10" s="11" t="inlineStr">
        <is>
          <t>GET</t>
        </is>
      </c>
      <c r="F10" s="17" t="inlineStr">
        <is>
          <t>/api/employees/page</t>
        </is>
      </c>
      <c r="G10" s="8" t="inlineStr">
        <is>
          <t>员工分页查询（hr 全量）</t>
        </is>
      </c>
      <c r="H10" s="11" t="inlineStr">
        <is>
          <t>返回成功数据</t>
        </is>
      </c>
      <c r="I10" s="11" t="inlineStr">
        <is>
          <t>是</t>
        </is>
      </c>
      <c r="J10" s="8" t="inlineStr">
        <is>
          <t>通过</t>
        </is>
      </c>
      <c r="K10" s="11" t="n">
        <v>247</v>
      </c>
      <c r="L10" s="8" t="inlineStr">
        <is>
          <t>total=36, records=10</t>
        </is>
      </c>
    </row>
    <row r="11">
      <c r="A11" s="11" t="inlineStr">
        <is>
          <t>TC-010</t>
        </is>
      </c>
      <c r="B11" s="10" t="inlineStr">
        <is>
          <t>员工档案</t>
        </is>
      </c>
      <c r="C11" s="8" t="inlineStr">
        <is>
          <t>员工档案 /employee</t>
        </is>
      </c>
      <c r="D11" s="11" t="inlineStr">
        <is>
          <t>人事专员</t>
        </is>
      </c>
      <c r="E11" s="11" t="inlineStr">
        <is>
          <t>GET</t>
        </is>
      </c>
      <c r="F11" s="17" t="inlineStr">
        <is>
          <t>/api/employees/:id</t>
        </is>
      </c>
      <c r="G11" s="8" t="inlineStr">
        <is>
          <t>员工详情（脱敏）</t>
        </is>
      </c>
      <c r="H11" s="11" t="inlineStr">
        <is>
          <t>返回成功数据</t>
        </is>
      </c>
      <c r="I11" s="11" t="inlineStr">
        <is>
          <t>是</t>
        </is>
      </c>
      <c r="J11" s="8" t="inlineStr">
        <is>
          <t>通过</t>
        </is>
      </c>
      <c r="K11" s="11" t="n">
        <v>222</v>
      </c>
      <c r="L11" s="8" t="inlineStr">
        <is>
          <t>36 字段：id,emp_no,name,gender,age,birth_date</t>
        </is>
      </c>
    </row>
    <row r="12">
      <c r="A12" s="11" t="inlineStr">
        <is>
          <t>TC-011</t>
        </is>
      </c>
      <c r="B12" s="10" t="inlineStr">
        <is>
          <t>员工档案</t>
        </is>
      </c>
      <c r="C12" s="8" t="inlineStr">
        <is>
          <t>员工档案 /employee</t>
        </is>
      </c>
      <c r="D12" s="11" t="inlineStr">
        <is>
          <t>人事专员</t>
        </is>
      </c>
      <c r="E12" s="11" t="inlineStr">
        <is>
          <t>POST</t>
        </is>
      </c>
      <c r="F12" s="17" t="inlineStr">
        <is>
          <t>/api/employees</t>
        </is>
      </c>
      <c r="G12" s="8" t="inlineStr">
        <is>
          <t>入职办理（工号自动生成 BR-02-01）</t>
        </is>
      </c>
      <c r="H12" s="11" t="inlineStr">
        <is>
          <t>返回成功数据</t>
        </is>
      </c>
      <c r="I12" s="11" t="inlineStr">
        <is>
          <t>是</t>
        </is>
      </c>
      <c r="J12" s="8" t="inlineStr">
        <is>
          <t>通过</t>
        </is>
      </c>
      <c r="K12" s="11" t="n">
        <v>242</v>
      </c>
      <c r="L12" s="8" t="inlineStr">
        <is>
          <t>2 字段：id,empNo</t>
        </is>
      </c>
    </row>
    <row r="13">
      <c r="A13" s="11" t="inlineStr">
        <is>
          <t>TC-012</t>
        </is>
      </c>
      <c r="B13" s="10" t="inlineStr">
        <is>
          <t>员工档案</t>
        </is>
      </c>
      <c r="C13" s="8" t="inlineStr">
        <is>
          <t>员工档案 /employee</t>
        </is>
      </c>
      <c r="D13" s="11" t="inlineStr">
        <is>
          <t>人事专员</t>
        </is>
      </c>
      <c r="E13" s="11" t="inlineStr">
        <is>
          <t>PUT</t>
        </is>
      </c>
      <c r="F13" s="17" t="inlineStr">
        <is>
          <t>/api/employees/:id</t>
        </is>
      </c>
      <c r="G13" s="8" t="inlineStr">
        <is>
          <t>修改员工信息</t>
        </is>
      </c>
      <c r="H13" s="11" t="inlineStr">
        <is>
          <t>返回成功数据</t>
        </is>
      </c>
      <c r="I13" s="11" t="inlineStr">
        <is>
          <t>是</t>
        </is>
      </c>
      <c r="J13" s="8" t="inlineStr">
        <is>
          <t>通过</t>
        </is>
      </c>
      <c r="K13" s="11" t="n">
        <v>235</v>
      </c>
      <c r="L13" s="8" t="inlineStr">
        <is>
          <t>success=true</t>
        </is>
      </c>
    </row>
    <row r="14">
      <c r="A14" s="11" t="inlineStr">
        <is>
          <t>TC-013</t>
        </is>
      </c>
      <c r="B14" s="10" t="inlineStr">
        <is>
          <t>员工档案</t>
        </is>
      </c>
      <c r="C14" s="8" t="inlineStr">
        <is>
          <t>员工档案 /employee</t>
        </is>
      </c>
      <c r="D14" s="11" t="inlineStr">
        <is>
          <t>人事专员</t>
        </is>
      </c>
      <c r="E14" s="11" t="inlineStr">
        <is>
          <t>PUT</t>
        </is>
      </c>
      <c r="F14" s="17" t="inlineStr">
        <is>
          <t>/api/employees/:id/status</t>
        </is>
      </c>
      <c r="G14" s="8" t="inlineStr">
        <is>
          <t>状态变更-转正（BR-02-04 留痕）</t>
        </is>
      </c>
      <c r="H14" s="11" t="inlineStr">
        <is>
          <t>返回成功数据</t>
        </is>
      </c>
      <c r="I14" s="11" t="inlineStr">
        <is>
          <t>是</t>
        </is>
      </c>
      <c r="J14" s="8" t="inlineStr">
        <is>
          <t>通过</t>
        </is>
      </c>
      <c r="K14" s="11" t="n">
        <v>399</v>
      </c>
      <c r="L14" s="8" t="inlineStr">
        <is>
          <t>success=true</t>
        </is>
      </c>
    </row>
    <row r="15">
      <c r="A15" s="11" t="inlineStr">
        <is>
          <t>TC-014</t>
        </is>
      </c>
      <c r="B15" s="10" t="inlineStr">
        <is>
          <t>员工档案</t>
        </is>
      </c>
      <c r="C15" s="8" t="inlineStr">
        <is>
          <t>员工档案 /employee</t>
        </is>
      </c>
      <c r="D15" s="11" t="inlineStr">
        <is>
          <t>人事专员</t>
        </is>
      </c>
      <c r="E15" s="11" t="inlineStr">
        <is>
          <t>GET</t>
        </is>
      </c>
      <c r="F15" s="17" t="inlineStr">
        <is>
          <t>/api/employees/:id/changes</t>
        </is>
      </c>
      <c r="G15" s="8" t="inlineStr">
        <is>
          <t>员工异动记录（时间线）</t>
        </is>
      </c>
      <c r="H15" s="11" t="inlineStr">
        <is>
          <t>返回成功数据</t>
        </is>
      </c>
      <c r="I15" s="11" t="inlineStr">
        <is>
          <t>是</t>
        </is>
      </c>
      <c r="J15" s="8" t="inlineStr">
        <is>
          <t>通过</t>
        </is>
      </c>
      <c r="K15" s="11" t="n">
        <v>213</v>
      </c>
      <c r="L15" s="8" t="inlineStr">
        <is>
          <t>total=2, records=2</t>
        </is>
      </c>
    </row>
    <row r="16">
      <c r="A16" s="11" t="inlineStr">
        <is>
          <t>TC-015</t>
        </is>
      </c>
      <c r="B16" s="10" t="inlineStr">
        <is>
          <t>员工档案</t>
        </is>
      </c>
      <c r="C16" s="8" t="inlineStr">
        <is>
          <t>员工档案 /employee</t>
        </is>
      </c>
      <c r="D16" s="11" t="inlineStr">
        <is>
          <t>人事专员</t>
        </is>
      </c>
      <c r="E16" s="11" t="inlineStr">
        <is>
          <t>PUT</t>
        </is>
      </c>
      <c r="F16" s="17" t="inlineStr">
        <is>
          <t>/api/employees/:id/status</t>
        </is>
      </c>
      <c r="G16" s="8" t="inlineStr">
        <is>
          <t>状态变更-离职</t>
        </is>
      </c>
      <c r="H16" s="11" t="inlineStr">
        <is>
          <t>返回成功数据</t>
        </is>
      </c>
      <c r="I16" s="11" t="inlineStr">
        <is>
          <t>是</t>
        </is>
      </c>
      <c r="J16" s="8" t="inlineStr">
        <is>
          <t>通过</t>
        </is>
      </c>
      <c r="K16" s="11" t="n">
        <v>229</v>
      </c>
      <c r="L16" s="8" t="inlineStr">
        <is>
          <t>success=true</t>
        </is>
      </c>
    </row>
    <row r="17">
      <c r="A17" s="11" t="inlineStr">
        <is>
          <t>TC-016</t>
        </is>
      </c>
      <c r="B17" s="10" t="inlineStr">
        <is>
          <t>员工档案</t>
        </is>
      </c>
      <c r="C17" s="8" t="inlineStr">
        <is>
          <t>员工档案 /employee</t>
        </is>
      </c>
      <c r="D17" s="11" t="inlineStr">
        <is>
          <t>人事专员</t>
        </is>
      </c>
      <c r="E17" s="11" t="inlineStr">
        <is>
          <t>DELETE</t>
        </is>
      </c>
      <c r="F17" s="17" t="inlineStr">
        <is>
          <t>/api/employees/:id</t>
        </is>
      </c>
      <c r="G17" s="8" t="inlineStr">
        <is>
          <t>删除员工（逻辑删除 BR-02-03）</t>
        </is>
      </c>
      <c r="H17" s="11" t="inlineStr">
        <is>
          <t>返回成功数据</t>
        </is>
      </c>
      <c r="I17" s="11" t="inlineStr">
        <is>
          <t>是</t>
        </is>
      </c>
      <c r="J17" s="8" t="inlineStr">
        <is>
          <t>通过</t>
        </is>
      </c>
      <c r="K17" s="11" t="n">
        <v>377</v>
      </c>
      <c r="L17" s="8" t="inlineStr">
        <is>
          <t>success=true</t>
        </is>
      </c>
    </row>
    <row r="18">
      <c r="A18" s="11" t="inlineStr">
        <is>
          <t>TC-017</t>
        </is>
      </c>
      <c r="B18" s="10" t="inlineStr">
        <is>
          <t>员工档案</t>
        </is>
      </c>
      <c r="C18" s="8" t="inlineStr">
        <is>
          <t>异动记录 /employee/changes</t>
        </is>
      </c>
      <c r="D18" s="11" t="inlineStr">
        <is>
          <t>人事专员</t>
        </is>
      </c>
      <c r="E18" s="11" t="inlineStr">
        <is>
          <t>GET</t>
        </is>
      </c>
      <c r="F18" s="17" t="inlineStr">
        <is>
          <t>/api/employee-changes/page</t>
        </is>
      </c>
      <c r="G18" s="8" t="inlineStr">
        <is>
          <t>异动分页</t>
        </is>
      </c>
      <c r="H18" s="11" t="inlineStr">
        <is>
          <t>返回成功数据</t>
        </is>
      </c>
      <c r="I18" s="11" t="inlineStr">
        <is>
          <t>是</t>
        </is>
      </c>
      <c r="J18" s="8" t="inlineStr">
        <is>
          <t>通过</t>
        </is>
      </c>
      <c r="K18" s="11" t="n">
        <v>276</v>
      </c>
      <c r="L18" s="8" t="inlineStr">
        <is>
          <t>total=7, records=7</t>
        </is>
      </c>
    </row>
    <row r="19">
      <c r="A19" s="11" t="inlineStr">
        <is>
          <t>TC-018</t>
        </is>
      </c>
      <c r="B19" s="10" t="inlineStr">
        <is>
          <t>员工档案</t>
        </is>
      </c>
      <c r="C19" s="8" t="inlineStr">
        <is>
          <t>异动记录 /employee/changes</t>
        </is>
      </c>
      <c r="D19" s="11" t="inlineStr">
        <is>
          <t>人事专员</t>
        </is>
      </c>
      <c r="E19" s="11" t="inlineStr">
        <is>
          <t>POST</t>
        </is>
      </c>
      <c r="F19" s="17" t="inlineStr">
        <is>
          <t>/api/employee-changes</t>
        </is>
      </c>
      <c r="G19" s="8" t="inlineStr">
        <is>
          <t>办理异动（调岗）</t>
        </is>
      </c>
      <c r="H19" s="11" t="inlineStr">
        <is>
          <t>返回成功数据</t>
        </is>
      </c>
      <c r="I19" s="11" t="inlineStr">
        <is>
          <t>是</t>
        </is>
      </c>
      <c r="J19" s="8" t="inlineStr">
        <is>
          <t>通过</t>
        </is>
      </c>
      <c r="K19" s="11" t="n">
        <v>218</v>
      </c>
      <c r="L19" s="8" t="inlineStr">
        <is>
          <t>success=true id=100004</t>
        </is>
      </c>
    </row>
    <row r="20">
      <c r="A20" s="11" t="inlineStr">
        <is>
          <t>TC-019</t>
        </is>
      </c>
      <c r="B20" s="10" t="inlineStr">
        <is>
          <t>员工档案</t>
        </is>
      </c>
      <c r="C20" s="8" t="inlineStr">
        <is>
          <t>合同管理 /employee/contracts</t>
        </is>
      </c>
      <c r="D20" s="11" t="inlineStr">
        <is>
          <t>人事专员</t>
        </is>
      </c>
      <c r="E20" s="11" t="inlineStr">
        <is>
          <t>GET</t>
        </is>
      </c>
      <c r="F20" s="17" t="inlineStr">
        <is>
          <t>/api/employee-contracts/page</t>
        </is>
      </c>
      <c r="G20" s="8" t="inlineStr">
        <is>
          <t>合同分页（到期预警）</t>
        </is>
      </c>
      <c r="H20" s="11" t="inlineStr">
        <is>
          <t>返回成功数据</t>
        </is>
      </c>
      <c r="I20" s="11" t="inlineStr">
        <is>
          <t>是</t>
        </is>
      </c>
      <c r="J20" s="8" t="inlineStr">
        <is>
          <t>通过</t>
        </is>
      </c>
      <c r="K20" s="11" t="n">
        <v>299</v>
      </c>
      <c r="L20" s="8" t="inlineStr">
        <is>
          <t>total=10, records=10</t>
        </is>
      </c>
    </row>
    <row r="21">
      <c r="A21" s="11" t="inlineStr">
        <is>
          <t>TC-020</t>
        </is>
      </c>
      <c r="B21" s="10" t="inlineStr">
        <is>
          <t>员工档案</t>
        </is>
      </c>
      <c r="C21" s="8" t="inlineStr">
        <is>
          <t>合同管理 /employee/contracts</t>
        </is>
      </c>
      <c r="D21" s="11" t="inlineStr">
        <is>
          <t>人事专员</t>
        </is>
      </c>
      <c r="E21" s="11" t="inlineStr">
        <is>
          <t>POST</t>
        </is>
      </c>
      <c r="F21" s="17" t="inlineStr">
        <is>
          <t>/api/employee-contracts</t>
        </is>
      </c>
      <c r="G21" s="8" t="inlineStr">
        <is>
          <t>签订合同</t>
        </is>
      </c>
      <c r="H21" s="11" t="inlineStr">
        <is>
          <t>返回成功数据</t>
        </is>
      </c>
      <c r="I21" s="11" t="inlineStr">
        <is>
          <t>是</t>
        </is>
      </c>
      <c r="J21" s="8" t="inlineStr">
        <is>
          <t>通过</t>
        </is>
      </c>
      <c r="K21" s="11" t="n">
        <v>388</v>
      </c>
      <c r="L21" s="8" t="inlineStr">
        <is>
          <t>success=true id=100005 contractNo=CT20260006</t>
        </is>
      </c>
    </row>
    <row r="22">
      <c r="A22" s="11" t="inlineStr">
        <is>
          <t>TC-021</t>
        </is>
      </c>
      <c r="B22" s="10" t="inlineStr">
        <is>
          <t>员工档案</t>
        </is>
      </c>
      <c r="C22" s="8" t="inlineStr">
        <is>
          <t>我的档案 /employee/profile</t>
        </is>
      </c>
      <c r="D22" s="11" t="inlineStr">
        <is>
          <t>普通员工</t>
        </is>
      </c>
      <c r="E22" s="11" t="inlineStr">
        <is>
          <t>GET</t>
        </is>
      </c>
      <c r="F22" s="17" t="inlineStr">
        <is>
          <t>/api/employees/:id</t>
        </is>
      </c>
      <c r="G22" s="8" t="inlineStr">
        <is>
          <t>查看本人档案（行级隔离）</t>
        </is>
      </c>
      <c r="H22" s="11" t="inlineStr">
        <is>
          <t>返回成功数据</t>
        </is>
      </c>
      <c r="I22" s="11" t="inlineStr">
        <is>
          <t>是</t>
        </is>
      </c>
      <c r="J22" s="8" t="inlineStr">
        <is>
          <t>通过</t>
        </is>
      </c>
      <c r="K22" s="11" t="n">
        <v>331</v>
      </c>
      <c r="L22" s="8" t="inlineStr">
        <is>
          <t>36 字段：id,emp_no,name,gender,age,birth_date</t>
        </is>
      </c>
    </row>
    <row r="23">
      <c r="A23" s="11" t="inlineStr">
        <is>
          <t>TC-022</t>
        </is>
      </c>
      <c r="B23" s="10" t="inlineStr">
        <is>
          <t>员工档案</t>
        </is>
      </c>
      <c r="C23" s="8" t="inlineStr">
        <is>
          <t>我的档案 /employee/profile</t>
        </is>
      </c>
      <c r="D23" s="11" t="inlineStr">
        <is>
          <t>普通员工</t>
        </is>
      </c>
      <c r="E23" s="11" t="inlineStr">
        <is>
          <t>GET</t>
        </is>
      </c>
      <c r="F23" s="17" t="inlineStr">
        <is>
          <t>/api/employees/:id</t>
        </is>
      </c>
      <c r="G23" s="8" t="inlineStr">
        <is>
          <t>越权查看他人档案应 403（NF-10）</t>
        </is>
      </c>
      <c r="H23" s="11" t="inlineStr">
        <is>
          <t>业务规则拦截</t>
        </is>
      </c>
      <c r="I23" s="11" t="inlineStr">
        <is>
          <t>是</t>
        </is>
      </c>
      <c r="J23" s="8" t="inlineStr">
        <is>
          <t>通过（业务规则已拦截）</t>
        </is>
      </c>
      <c r="K23" s="11" t="n">
        <v>243</v>
      </c>
      <c r="L23" s="8" t="inlineStr">
        <is>
          <t>无权查看他人档案</t>
        </is>
      </c>
    </row>
    <row r="24">
      <c r="A24" s="11" t="inlineStr">
        <is>
          <t>TC-023</t>
        </is>
      </c>
      <c r="B24" s="10" t="inlineStr">
        <is>
          <t>部门管理</t>
        </is>
      </c>
      <c r="C24" s="8" t="inlineStr">
        <is>
          <t>组织架构 /dept</t>
        </is>
      </c>
      <c r="D24" s="11" t="inlineStr">
        <is>
          <t>人事专员</t>
        </is>
      </c>
      <c r="E24" s="11" t="inlineStr">
        <is>
          <t>GET</t>
        </is>
      </c>
      <c r="F24" s="17" t="inlineStr">
        <is>
          <t>/api/depts/tree</t>
        </is>
      </c>
      <c r="G24" s="8" t="inlineStr">
        <is>
          <t>组织架构树</t>
        </is>
      </c>
      <c r="H24" s="11" t="inlineStr">
        <is>
          <t>返回成功数据</t>
        </is>
      </c>
      <c r="I24" s="11" t="inlineStr">
        <is>
          <t>是</t>
        </is>
      </c>
      <c r="J24" s="8" t="inlineStr">
        <is>
          <t>通过</t>
        </is>
      </c>
      <c r="K24" s="11" t="n">
        <v>315</v>
      </c>
      <c r="L24" s="8" t="inlineStr">
        <is>
          <t>Array(1)</t>
        </is>
      </c>
    </row>
    <row r="25">
      <c r="A25" s="11" t="inlineStr">
        <is>
          <t>TC-024</t>
        </is>
      </c>
      <c r="B25" s="10" t="inlineStr">
        <is>
          <t>部门管理</t>
        </is>
      </c>
      <c r="C25" s="8" t="inlineStr">
        <is>
          <t>组织架构 /dept</t>
        </is>
      </c>
      <c r="D25" s="11" t="inlineStr">
        <is>
          <t>人事专员</t>
        </is>
      </c>
      <c r="E25" s="11" t="inlineStr">
        <is>
          <t>GET</t>
        </is>
      </c>
      <c r="F25" s="17" t="inlineStr">
        <is>
          <t>/api/depts</t>
        </is>
      </c>
      <c r="G25" s="8" t="inlineStr">
        <is>
          <t>部门列表（扁平）</t>
        </is>
      </c>
      <c r="H25" s="11" t="inlineStr">
        <is>
          <t>返回成功数据</t>
        </is>
      </c>
      <c r="I25" s="11" t="inlineStr">
        <is>
          <t>是</t>
        </is>
      </c>
      <c r="J25" s="8" t="inlineStr">
        <is>
          <t>通过</t>
        </is>
      </c>
      <c r="K25" s="11" t="n">
        <v>205</v>
      </c>
      <c r="L25" s="8" t="inlineStr">
        <is>
          <t>Array(10)</t>
        </is>
      </c>
    </row>
    <row r="26">
      <c r="A26" s="11" t="inlineStr">
        <is>
          <t>TC-025</t>
        </is>
      </c>
      <c r="B26" s="10" t="inlineStr">
        <is>
          <t>部门管理</t>
        </is>
      </c>
      <c r="C26" s="8" t="inlineStr">
        <is>
          <t>组织架构 /dept</t>
        </is>
      </c>
      <c r="D26" s="11" t="inlineStr">
        <is>
          <t>人事专员</t>
        </is>
      </c>
      <c r="E26" s="11" t="inlineStr">
        <is>
          <t>POST</t>
        </is>
      </c>
      <c r="F26" s="17" t="inlineStr">
        <is>
          <t>/api/depts</t>
        </is>
      </c>
      <c r="G26" s="8" t="inlineStr">
        <is>
          <t>新增部门</t>
        </is>
      </c>
      <c r="H26" s="11" t="inlineStr">
        <is>
          <t>返回成功数据</t>
        </is>
      </c>
      <c r="I26" s="11" t="inlineStr">
        <is>
          <t>是</t>
        </is>
      </c>
      <c r="J26" s="8" t="inlineStr">
        <is>
          <t>通过</t>
        </is>
      </c>
      <c r="K26" s="11" t="n">
        <v>317</v>
      </c>
      <c r="L26" s="8" t="inlineStr">
        <is>
          <t>success=true id=100007</t>
        </is>
      </c>
    </row>
    <row r="27">
      <c r="A27" s="11" t="inlineStr">
        <is>
          <t>TC-026</t>
        </is>
      </c>
      <c r="B27" s="10" t="inlineStr">
        <is>
          <t>部门管理</t>
        </is>
      </c>
      <c r="C27" s="8" t="inlineStr">
        <is>
          <t>组织架构 /dept</t>
        </is>
      </c>
      <c r="D27" s="11" t="inlineStr">
        <is>
          <t>人事专员</t>
        </is>
      </c>
      <c r="E27" s="11" t="inlineStr">
        <is>
          <t>PUT</t>
        </is>
      </c>
      <c r="F27" s="17" t="inlineStr">
        <is>
          <t>/api/depts/:id</t>
        </is>
      </c>
      <c r="G27" s="8" t="inlineStr">
        <is>
          <t>修改部门（编制上限）</t>
        </is>
      </c>
      <c r="H27" s="11" t="inlineStr">
        <is>
          <t>返回成功数据</t>
        </is>
      </c>
      <c r="I27" s="11" t="inlineStr">
        <is>
          <t>是</t>
        </is>
      </c>
      <c r="J27" s="8" t="inlineStr">
        <is>
          <t>通过</t>
        </is>
      </c>
      <c r="K27" s="11" t="n">
        <v>220</v>
      </c>
      <c r="L27" s="8" t="inlineStr">
        <is>
          <t>success=true</t>
        </is>
      </c>
    </row>
    <row r="28">
      <c r="A28" s="11" t="inlineStr">
        <is>
          <t>TC-027</t>
        </is>
      </c>
      <c r="B28" s="10" t="inlineStr">
        <is>
          <t>部门管理</t>
        </is>
      </c>
      <c r="C28" s="8" t="inlineStr">
        <is>
          <t>组织架构 /dept</t>
        </is>
      </c>
      <c r="D28" s="11" t="inlineStr">
        <is>
          <t>人事专员</t>
        </is>
      </c>
      <c r="E28" s="11" t="inlineStr">
        <is>
          <t>DELETE</t>
        </is>
      </c>
      <c r="F28" s="17" t="inlineStr">
        <is>
          <t>/api/depts/:id</t>
        </is>
      </c>
      <c r="G28" s="8" t="inlineStr">
        <is>
          <t>删除有下级部门的部门应拒绝</t>
        </is>
      </c>
      <c r="H28" s="11" t="inlineStr">
        <is>
          <t>业务规则拦截</t>
        </is>
      </c>
      <c r="I28" s="11" t="inlineStr">
        <is>
          <t>是</t>
        </is>
      </c>
      <c r="J28" s="8" t="inlineStr">
        <is>
          <t>通过（业务规则已拦截）</t>
        </is>
      </c>
      <c r="K28" s="11" t="n">
        <v>643</v>
      </c>
      <c r="L28" s="8" t="inlineStr">
        <is>
          <t>存在下级部门，禁止删除</t>
        </is>
      </c>
    </row>
    <row r="29">
      <c r="A29" s="11" t="inlineStr">
        <is>
          <t>TC-028</t>
        </is>
      </c>
      <c r="B29" s="10" t="inlineStr">
        <is>
          <t>部门管理</t>
        </is>
      </c>
      <c r="C29" s="8" t="inlineStr">
        <is>
          <t>组织架构 /dept</t>
        </is>
      </c>
      <c r="D29" s="11" t="inlineStr">
        <is>
          <t>人事专员</t>
        </is>
      </c>
      <c r="E29" s="11" t="inlineStr">
        <is>
          <t>DELETE</t>
        </is>
      </c>
      <c r="F29" s="17" t="inlineStr">
        <is>
          <t>/api/depts/:id</t>
        </is>
      </c>
      <c r="G29" s="8" t="inlineStr">
        <is>
          <t>删除部门（有在职员工应拒绝 BR-03-02）</t>
        </is>
      </c>
      <c r="H29" s="11" t="inlineStr">
        <is>
          <t>业务规则拦截</t>
        </is>
      </c>
      <c r="I29" s="11" t="inlineStr">
        <is>
          <t>是</t>
        </is>
      </c>
      <c r="J29" s="8" t="inlineStr">
        <is>
          <t>通过（业务规则已拦截）</t>
        </is>
      </c>
      <c r="K29" s="11" t="n">
        <v>558</v>
      </c>
      <c r="L29" s="8" t="inlineStr">
        <is>
          <t>部门下存在在职员工，禁止删除，请先转移人员（BR-03-02）</t>
        </is>
      </c>
    </row>
    <row r="30">
      <c r="A30" s="11" t="inlineStr">
        <is>
          <t>TC-029</t>
        </is>
      </c>
      <c r="B30" s="10" t="inlineStr">
        <is>
          <t>部门管理</t>
        </is>
      </c>
      <c r="C30" s="8" t="inlineStr">
        <is>
          <t>组织架构 /dept</t>
        </is>
      </c>
      <c r="D30" s="11" t="inlineStr">
        <is>
          <t>人事专员</t>
        </is>
      </c>
      <c r="E30" s="11" t="inlineStr">
        <is>
          <t>DELETE</t>
        </is>
      </c>
      <c r="F30" s="17" t="inlineStr">
        <is>
          <t>/api/depts/:id</t>
        </is>
      </c>
      <c r="G30" s="8" t="inlineStr">
        <is>
          <t>删除空部门</t>
        </is>
      </c>
      <c r="H30" s="11" t="inlineStr">
        <is>
          <t>返回成功数据</t>
        </is>
      </c>
      <c r="I30" s="11" t="inlineStr">
        <is>
          <t>是</t>
        </is>
      </c>
      <c r="J30" s="8" t="inlineStr">
        <is>
          <t>通过</t>
        </is>
      </c>
      <c r="K30" s="11" t="n">
        <v>285</v>
      </c>
      <c r="L30" s="8" t="inlineStr">
        <is>
          <t>success=true</t>
        </is>
      </c>
    </row>
    <row r="31">
      <c r="A31" s="11" t="inlineStr">
        <is>
          <t>TC-030</t>
        </is>
      </c>
      <c r="B31" s="10" t="inlineStr">
        <is>
          <t>部门管理</t>
        </is>
      </c>
      <c r="C31" s="8" t="inlineStr">
        <is>
          <t>岗位管理 /dept/positions</t>
        </is>
      </c>
      <c r="D31" s="11" t="inlineStr">
        <is>
          <t>人事专员</t>
        </is>
      </c>
      <c r="E31" s="11" t="inlineStr">
        <is>
          <t>GET</t>
        </is>
      </c>
      <c r="F31" s="17" t="inlineStr">
        <is>
          <t>/api/positions</t>
        </is>
      </c>
      <c r="G31" s="8" t="inlineStr">
        <is>
          <t>岗位列表</t>
        </is>
      </c>
      <c r="H31" s="11" t="inlineStr">
        <is>
          <t>返回成功数据</t>
        </is>
      </c>
      <c r="I31" s="11" t="inlineStr">
        <is>
          <t>是</t>
        </is>
      </c>
      <c r="J31" s="8" t="inlineStr">
        <is>
          <t>通过</t>
        </is>
      </c>
      <c r="K31" s="11" t="n">
        <v>192</v>
      </c>
      <c r="L31" s="8" t="inlineStr">
        <is>
          <t>total=11, records=11</t>
        </is>
      </c>
    </row>
    <row r="32">
      <c r="A32" s="11" t="inlineStr">
        <is>
          <t>TC-031</t>
        </is>
      </c>
      <c r="B32" s="10" t="inlineStr">
        <is>
          <t>部门管理</t>
        </is>
      </c>
      <c r="C32" s="8" t="inlineStr">
        <is>
          <t>岗位管理 /dept/positions</t>
        </is>
      </c>
      <c r="D32" s="11" t="inlineStr">
        <is>
          <t>人事专员</t>
        </is>
      </c>
      <c r="E32" s="11" t="inlineStr">
        <is>
          <t>POST</t>
        </is>
      </c>
      <c r="F32" s="17" t="inlineStr">
        <is>
          <t>/api/positions</t>
        </is>
      </c>
      <c r="G32" s="8" t="inlineStr">
        <is>
          <t>新增岗位</t>
        </is>
      </c>
      <c r="H32" s="11" t="inlineStr">
        <is>
          <t>返回成功数据</t>
        </is>
      </c>
      <c r="I32" s="11" t="inlineStr">
        <is>
          <t>是</t>
        </is>
      </c>
      <c r="J32" s="8" t="inlineStr">
        <is>
          <t>通过</t>
        </is>
      </c>
      <c r="K32" s="11" t="n">
        <v>348</v>
      </c>
      <c r="L32" s="8" t="inlineStr">
        <is>
          <t>success=true id=100008</t>
        </is>
      </c>
    </row>
    <row r="33">
      <c r="A33" s="11" t="inlineStr">
        <is>
          <t>TC-032</t>
        </is>
      </c>
      <c r="B33" s="10" t="inlineStr">
        <is>
          <t>部门管理</t>
        </is>
      </c>
      <c r="C33" s="8" t="inlineStr">
        <is>
          <t>岗位管理 /dept/positions</t>
        </is>
      </c>
      <c r="D33" s="11" t="inlineStr">
        <is>
          <t>人事专员</t>
        </is>
      </c>
      <c r="E33" s="11" t="inlineStr">
        <is>
          <t>PUT</t>
        </is>
      </c>
      <c r="F33" s="17" t="inlineStr">
        <is>
          <t>/api/positions/:id</t>
        </is>
      </c>
      <c r="G33" s="8" t="inlineStr">
        <is>
          <t>修改岗位</t>
        </is>
      </c>
      <c r="H33" s="11" t="inlineStr">
        <is>
          <t>返回成功数据</t>
        </is>
      </c>
      <c r="I33" s="11" t="inlineStr">
        <is>
          <t>是</t>
        </is>
      </c>
      <c r="J33" s="8" t="inlineStr">
        <is>
          <t>通过</t>
        </is>
      </c>
      <c r="K33" s="11" t="n">
        <v>219</v>
      </c>
      <c r="L33" s="8" t="inlineStr">
        <is>
          <t>success=true</t>
        </is>
      </c>
    </row>
    <row r="34">
      <c r="A34" s="11" t="inlineStr">
        <is>
          <t>TC-033</t>
        </is>
      </c>
      <c r="B34" s="10" t="inlineStr">
        <is>
          <t>考勤管理</t>
        </is>
      </c>
      <c r="C34" s="8" t="inlineStr">
        <is>
          <t>打卡签到 /attendance/checkin</t>
        </is>
      </c>
      <c r="D34" s="11" t="inlineStr">
        <is>
          <t>人事专员</t>
        </is>
      </c>
      <c r="E34" s="11" t="inlineStr">
        <is>
          <t>GET</t>
        </is>
      </c>
      <c r="F34" s="17" t="inlineStr">
        <is>
          <t>/api/attendance/today</t>
        </is>
      </c>
      <c r="G34" s="8" t="inlineStr">
        <is>
          <t>今日考勤状态</t>
        </is>
      </c>
      <c r="H34" s="11" t="inlineStr">
        <is>
          <t>返回成功数据</t>
        </is>
      </c>
      <c r="I34" s="11" t="inlineStr">
        <is>
          <t>是</t>
        </is>
      </c>
      <c r="J34" s="8" t="inlineStr">
        <is>
          <t>通过</t>
        </is>
      </c>
      <c r="K34" s="11" t="n">
        <v>310</v>
      </c>
      <c r="L34" s="8" t="inlineStr">
        <is>
          <t>2 字段：record,shift</t>
        </is>
      </c>
    </row>
    <row r="35">
      <c r="A35" s="11" t="inlineStr">
        <is>
          <t>TC-034</t>
        </is>
      </c>
      <c r="B35" s="10" t="inlineStr">
        <is>
          <t>考勤管理</t>
        </is>
      </c>
      <c r="C35" s="8" t="inlineStr">
        <is>
          <t>打卡签到 /attendance/checkin</t>
        </is>
      </c>
      <c r="D35" s="11" t="inlineStr">
        <is>
          <t>人事专员</t>
        </is>
      </c>
      <c r="E35" s="11" t="inlineStr">
        <is>
          <t>POST</t>
        </is>
      </c>
      <c r="F35" s="17" t="inlineStr">
        <is>
          <t>/api/attendance/checkin</t>
        </is>
      </c>
      <c r="G35" s="8" t="inlineStr">
        <is>
          <t>上班打卡（含重复打卡校验）</t>
        </is>
      </c>
      <c r="H35" s="11" t="inlineStr">
        <is>
          <t>业务规则拦截</t>
        </is>
      </c>
      <c r="I35" s="11" t="inlineStr">
        <is>
          <t>是</t>
        </is>
      </c>
      <c r="J35" s="8" t="inlineStr">
        <is>
          <t>通过（业务规则已拦截）</t>
        </is>
      </c>
      <c r="K35" s="11" t="n">
        <v>362</v>
      </c>
      <c r="L35" s="8" t="inlineStr">
        <is>
          <t>今日已打卡，请勿重复操作</t>
        </is>
      </c>
    </row>
    <row r="36">
      <c r="A36" s="11" t="inlineStr">
        <is>
          <t>TC-035</t>
        </is>
      </c>
      <c r="B36" s="10" t="inlineStr">
        <is>
          <t>考勤管理</t>
        </is>
      </c>
      <c r="C36" s="8" t="inlineStr">
        <is>
          <t>打卡签到 /attendance/checkin</t>
        </is>
      </c>
      <c r="D36" s="11" t="inlineStr">
        <is>
          <t>人事专员</t>
        </is>
      </c>
      <c r="E36" s="11" t="inlineStr">
        <is>
          <t>POST</t>
        </is>
      </c>
      <c r="F36" s="17" t="inlineStr">
        <is>
          <t>/api/attendance/checkout</t>
        </is>
      </c>
      <c r="G36" s="8" t="inlineStr">
        <is>
          <t>下班打卡（含未打卡校验）</t>
        </is>
      </c>
      <c r="H36" s="11" t="inlineStr">
        <is>
          <t>业务规则拦截</t>
        </is>
      </c>
      <c r="I36" s="11" t="inlineStr">
        <is>
          <t>是</t>
        </is>
      </c>
      <c r="J36" s="8" t="inlineStr">
        <is>
          <t>通过（业务规则已拦截）</t>
        </is>
      </c>
      <c r="K36" s="11" t="n">
        <v>193</v>
      </c>
      <c r="L36" s="8" t="inlineStr">
        <is>
          <t>今日已下班打卡</t>
        </is>
      </c>
    </row>
    <row r="37">
      <c r="A37" s="11" t="inlineStr">
        <is>
          <t>TC-036</t>
        </is>
      </c>
      <c r="B37" s="10" t="inlineStr">
        <is>
          <t>考勤管理</t>
        </is>
      </c>
      <c r="C37" s="8" t="inlineStr">
        <is>
          <t>考勤统计 /attendance/monthly</t>
        </is>
      </c>
      <c r="D37" s="11" t="inlineStr">
        <is>
          <t>人事专员</t>
        </is>
      </c>
      <c r="E37" s="11" t="inlineStr">
        <is>
          <t>GET</t>
        </is>
      </c>
      <c r="F37" s="17" t="inlineStr">
        <is>
          <t>/api/attendance/records</t>
        </is>
      </c>
      <c r="G37" s="8" t="inlineStr">
        <is>
          <t>打卡记录分页</t>
        </is>
      </c>
      <c r="H37" s="11" t="inlineStr">
        <is>
          <t>返回成功数据</t>
        </is>
      </c>
      <c r="I37" s="11" t="inlineStr">
        <is>
          <t>是</t>
        </is>
      </c>
      <c r="J37" s="8" t="inlineStr">
        <is>
          <t>通过</t>
        </is>
      </c>
      <c r="K37" s="11" t="n">
        <v>231</v>
      </c>
      <c r="L37" s="8" t="inlineStr">
        <is>
          <t>total=200, records=10</t>
        </is>
      </c>
    </row>
    <row r="38">
      <c r="A38" s="11" t="inlineStr">
        <is>
          <t>TC-037</t>
        </is>
      </c>
      <c r="B38" s="10" t="inlineStr">
        <is>
          <t>考勤管理</t>
        </is>
      </c>
      <c r="C38" s="8" t="inlineStr">
        <is>
          <t>请假申请 /attendance/leave</t>
        </is>
      </c>
      <c r="D38" s="11" t="inlineStr">
        <is>
          <t>人事专员</t>
        </is>
      </c>
      <c r="E38" s="11" t="inlineStr">
        <is>
          <t>GET</t>
        </is>
      </c>
      <c r="F38" s="17" t="inlineStr">
        <is>
          <t>/api/leave-requests/page</t>
        </is>
      </c>
      <c r="G38" s="8" t="inlineStr">
        <is>
          <t>请假分页</t>
        </is>
      </c>
      <c r="H38" s="11" t="inlineStr">
        <is>
          <t>返回成功数据</t>
        </is>
      </c>
      <c r="I38" s="11" t="inlineStr">
        <is>
          <t>是</t>
        </is>
      </c>
      <c r="J38" s="8" t="inlineStr">
        <is>
          <t>通过</t>
        </is>
      </c>
      <c r="K38" s="11" t="n">
        <v>194</v>
      </c>
      <c r="L38" s="8" t="inlineStr">
        <is>
          <t>total=10, records=10</t>
        </is>
      </c>
    </row>
    <row r="39">
      <c r="A39" s="11" t="inlineStr">
        <is>
          <t>TC-038</t>
        </is>
      </c>
      <c r="B39" s="10" t="inlineStr">
        <is>
          <t>考勤管理</t>
        </is>
      </c>
      <c r="C39" s="8" t="inlineStr">
        <is>
          <t>请假申请 /attendance/leave</t>
        </is>
      </c>
      <c r="D39" s="11" t="inlineStr">
        <is>
          <t>人事专员</t>
        </is>
      </c>
      <c r="E39" s="11" t="inlineStr">
        <is>
          <t>POST</t>
        </is>
      </c>
      <c r="F39" s="17" t="inlineStr">
        <is>
          <t>/api/leave-requests</t>
        </is>
      </c>
      <c r="G39" s="8" t="inlineStr">
        <is>
          <t>提交请假（余额充足）</t>
        </is>
      </c>
      <c r="H39" s="11" t="inlineStr">
        <is>
          <t>返回成功数据</t>
        </is>
      </c>
      <c r="I39" s="11" t="inlineStr">
        <is>
          <t>是</t>
        </is>
      </c>
      <c r="J39" s="8" t="inlineStr">
        <is>
          <t>通过</t>
        </is>
      </c>
      <c r="K39" s="11" t="n">
        <v>393</v>
      </c>
      <c r="L39" s="8" t="inlineStr">
        <is>
          <t>success=true id=100009 requestNo=LV202600010</t>
        </is>
      </c>
    </row>
    <row r="40">
      <c r="A40" s="11" t="inlineStr">
        <is>
          <t>TC-039</t>
        </is>
      </c>
      <c r="B40" s="10" t="inlineStr">
        <is>
          <t>考勤管理</t>
        </is>
      </c>
      <c r="C40" s="8" t="inlineStr">
        <is>
          <t>请假申请 /attendance/leave</t>
        </is>
      </c>
      <c r="D40" s="11" t="inlineStr">
        <is>
          <t>人事专员</t>
        </is>
      </c>
      <c r="E40" s="11" t="inlineStr">
        <is>
          <t>POST</t>
        </is>
      </c>
      <c r="F40" s="17" t="inlineStr">
        <is>
          <t>/api/leave-requests</t>
        </is>
      </c>
      <c r="G40" s="8" t="inlineStr">
        <is>
          <t>请假时间重叠应拒绝（BR-04-01）</t>
        </is>
      </c>
      <c r="H40" s="11" t="inlineStr">
        <is>
          <t>业务规则拦截</t>
        </is>
      </c>
      <c r="I40" s="11" t="inlineStr">
        <is>
          <t>是</t>
        </is>
      </c>
      <c r="J40" s="8" t="inlineStr">
        <is>
          <t>通过（业务规则已拦截）</t>
        </is>
      </c>
      <c r="K40" s="11" t="n">
        <v>322</v>
      </c>
      <c r="L40" s="8" t="inlineStr">
        <is>
          <t>申请时间段与已有请假单重叠（BR-04-01）</t>
        </is>
      </c>
    </row>
    <row r="41">
      <c r="A41" s="11" t="inlineStr">
        <is>
          <t>TC-040</t>
        </is>
      </c>
      <c r="B41" s="10" t="inlineStr">
        <is>
          <t>考勤管理</t>
        </is>
      </c>
      <c r="C41" s="8" t="inlineStr">
        <is>
          <t>请假申请 /attendance/leave</t>
        </is>
      </c>
      <c r="D41" s="11" t="inlineStr">
        <is>
          <t>人事专员</t>
        </is>
      </c>
      <c r="E41" s="11" t="inlineStr">
        <is>
          <t>PUT</t>
        </is>
      </c>
      <c r="F41" s="17" t="inlineStr">
        <is>
          <t>/api/leave-requests/:id/approve</t>
        </is>
      </c>
      <c r="G41" s="8" t="inlineStr">
        <is>
          <t>请假审批（主管/人事）</t>
        </is>
      </c>
      <c r="H41" s="11" t="inlineStr">
        <is>
          <t>返回成功数据</t>
        </is>
      </c>
      <c r="I41" s="11" t="inlineStr">
        <is>
          <t>是</t>
        </is>
      </c>
      <c r="J41" s="8" t="inlineStr">
        <is>
          <t>通过</t>
        </is>
      </c>
      <c r="K41" s="11" t="n">
        <v>546</v>
      </c>
      <c r="L41" s="8" t="inlineStr">
        <is>
          <t>success=true</t>
        </is>
      </c>
    </row>
    <row r="42">
      <c r="A42" s="11" t="inlineStr">
        <is>
          <t>TC-041</t>
        </is>
      </c>
      <c r="B42" s="10" t="inlineStr">
        <is>
          <t>考勤管理</t>
        </is>
      </c>
      <c r="C42" s="8" t="inlineStr">
        <is>
          <t>请假申请 /attendance/leave</t>
        </is>
      </c>
      <c r="D42" s="11" t="inlineStr">
        <is>
          <t>人事专员</t>
        </is>
      </c>
      <c r="E42" s="11" t="inlineStr">
        <is>
          <t>GET</t>
        </is>
      </c>
      <c r="F42" s="17" t="inlineStr">
        <is>
          <t>/api/leave-balances/my</t>
        </is>
      </c>
      <c r="G42" s="8" t="inlineStr">
        <is>
          <t>我的假期余额（BR-04-02）</t>
        </is>
      </c>
      <c r="H42" s="11" t="inlineStr">
        <is>
          <t>返回成功数据</t>
        </is>
      </c>
      <c r="I42" s="11" t="inlineStr">
        <is>
          <t>是</t>
        </is>
      </c>
      <c r="J42" s="8" t="inlineStr">
        <is>
          <t>通过</t>
        </is>
      </c>
      <c r="K42" s="11" t="n">
        <v>260</v>
      </c>
      <c r="L42" s="8" t="inlineStr">
        <is>
          <t>total=3, records=3</t>
        </is>
      </c>
    </row>
    <row r="43">
      <c r="A43" s="11" t="inlineStr">
        <is>
          <t>TC-042</t>
        </is>
      </c>
      <c r="B43" s="10" t="inlineStr">
        <is>
          <t>考勤管理</t>
        </is>
      </c>
      <c r="C43" s="8" t="inlineStr">
        <is>
          <t>加班申请 /attendance/overtime</t>
        </is>
      </c>
      <c r="D43" s="11" t="inlineStr">
        <is>
          <t>人事专员</t>
        </is>
      </c>
      <c r="E43" s="11" t="inlineStr">
        <is>
          <t>GET</t>
        </is>
      </c>
      <c r="F43" s="17" t="inlineStr">
        <is>
          <t>/api/overtime-requests/page</t>
        </is>
      </c>
      <c r="G43" s="8" t="inlineStr">
        <is>
          <t>加班分页</t>
        </is>
      </c>
      <c r="H43" s="11" t="inlineStr">
        <is>
          <t>返回成功数据</t>
        </is>
      </c>
      <c r="I43" s="11" t="inlineStr">
        <is>
          <t>是</t>
        </is>
      </c>
      <c r="J43" s="8" t="inlineStr">
        <is>
          <t>通过</t>
        </is>
      </c>
      <c r="K43" s="11" t="n">
        <v>350</v>
      </c>
      <c r="L43" s="8" t="inlineStr">
        <is>
          <t>total=4, records=4</t>
        </is>
      </c>
    </row>
    <row r="44">
      <c r="A44" s="11" t="inlineStr">
        <is>
          <t>TC-043</t>
        </is>
      </c>
      <c r="B44" s="10" t="inlineStr">
        <is>
          <t>考勤管理</t>
        </is>
      </c>
      <c r="C44" s="8" t="inlineStr">
        <is>
          <t>加班申请 /attendance/overtime</t>
        </is>
      </c>
      <c r="D44" s="11" t="inlineStr">
        <is>
          <t>人事专员</t>
        </is>
      </c>
      <c r="E44" s="11" t="inlineStr">
        <is>
          <t>POST</t>
        </is>
      </c>
      <c r="F44" s="17" t="inlineStr">
        <is>
          <t>/api/overtime-requests</t>
        </is>
      </c>
      <c r="G44" s="8" t="inlineStr">
        <is>
          <t>提交加班</t>
        </is>
      </c>
      <c r="H44" s="11" t="inlineStr">
        <is>
          <t>返回成功数据</t>
        </is>
      </c>
      <c r="I44" s="11" t="inlineStr">
        <is>
          <t>是</t>
        </is>
      </c>
      <c r="J44" s="8" t="inlineStr">
        <is>
          <t>通过</t>
        </is>
      </c>
      <c r="K44" s="11" t="n">
        <v>373</v>
      </c>
      <c r="L44" s="8" t="inlineStr">
        <is>
          <t>success=true id=100013 requestNo=OT202600014</t>
        </is>
      </c>
    </row>
    <row r="45">
      <c r="A45" s="11" t="inlineStr">
        <is>
          <t>TC-044</t>
        </is>
      </c>
      <c r="B45" s="10" t="inlineStr">
        <is>
          <t>考勤管理</t>
        </is>
      </c>
      <c r="C45" s="8" t="inlineStr">
        <is>
          <t>加班申请 /attendance/overtime</t>
        </is>
      </c>
      <c r="D45" s="11" t="inlineStr">
        <is>
          <t>人事专员</t>
        </is>
      </c>
      <c r="E45" s="11" t="inlineStr">
        <is>
          <t>PUT</t>
        </is>
      </c>
      <c r="F45" s="17" t="inlineStr">
        <is>
          <t>/api/overtime-requests/:id/approve</t>
        </is>
      </c>
      <c r="G45" s="8" t="inlineStr">
        <is>
          <t>加班审批</t>
        </is>
      </c>
      <c r="H45" s="11" t="inlineStr">
        <is>
          <t>返回成功数据</t>
        </is>
      </c>
      <c r="I45" s="11" t="inlineStr">
        <is>
          <t>是</t>
        </is>
      </c>
      <c r="J45" s="8" t="inlineStr">
        <is>
          <t>通过</t>
        </is>
      </c>
      <c r="K45" s="11" t="n">
        <v>735</v>
      </c>
      <c r="L45" s="8" t="inlineStr">
        <is>
          <t>success=true</t>
        </is>
      </c>
    </row>
    <row r="46">
      <c r="A46" s="11" t="inlineStr">
        <is>
          <t>TC-045</t>
        </is>
      </c>
      <c r="B46" s="10" t="inlineStr">
        <is>
          <t>考勤管理</t>
        </is>
      </c>
      <c r="C46" s="8" t="inlineStr">
        <is>
          <t>出差管理 /attendance/trip</t>
        </is>
      </c>
      <c r="D46" s="11" t="inlineStr">
        <is>
          <t>人事专员</t>
        </is>
      </c>
      <c r="E46" s="11" t="inlineStr">
        <is>
          <t>GET</t>
        </is>
      </c>
      <c r="F46" s="17" t="inlineStr">
        <is>
          <t>/api/business-trips/page</t>
        </is>
      </c>
      <c r="G46" s="8" t="inlineStr">
        <is>
          <t>出差分页</t>
        </is>
      </c>
      <c r="H46" s="11" t="inlineStr">
        <is>
          <t>返回成功数据</t>
        </is>
      </c>
      <c r="I46" s="11" t="inlineStr">
        <is>
          <t>是</t>
        </is>
      </c>
      <c r="J46" s="8" t="inlineStr">
        <is>
          <t>通过</t>
        </is>
      </c>
      <c r="K46" s="11" t="n">
        <v>381</v>
      </c>
      <c r="L46" s="8" t="inlineStr">
        <is>
          <t>total=3, records=3</t>
        </is>
      </c>
    </row>
    <row r="47">
      <c r="A47" s="11" t="inlineStr">
        <is>
          <t>TC-046</t>
        </is>
      </c>
      <c r="B47" s="10" t="inlineStr">
        <is>
          <t>考勤管理</t>
        </is>
      </c>
      <c r="C47" s="8" t="inlineStr">
        <is>
          <t>出差管理 /attendance/trip</t>
        </is>
      </c>
      <c r="D47" s="11" t="inlineStr">
        <is>
          <t>人事专员</t>
        </is>
      </c>
      <c r="E47" s="11" t="inlineStr">
        <is>
          <t>POST</t>
        </is>
      </c>
      <c r="F47" s="17" t="inlineStr">
        <is>
          <t>/api/business-trips</t>
        </is>
      </c>
      <c r="G47" s="8" t="inlineStr">
        <is>
          <t>提交出差</t>
        </is>
      </c>
      <c r="H47" s="11" t="inlineStr">
        <is>
          <t>返回成功数据</t>
        </is>
      </c>
      <c r="I47" s="11" t="inlineStr">
        <is>
          <t>是</t>
        </is>
      </c>
      <c r="J47" s="8" t="inlineStr">
        <is>
          <t>通过</t>
        </is>
      </c>
      <c r="K47" s="11" t="n">
        <v>196</v>
      </c>
      <c r="L47" s="8" t="inlineStr">
        <is>
          <t>success=true id=100016 requestNo=BT202600017</t>
        </is>
      </c>
    </row>
    <row r="48">
      <c r="A48" s="11" t="inlineStr">
        <is>
          <t>TC-047</t>
        </is>
      </c>
      <c r="B48" s="10" t="inlineStr">
        <is>
          <t>考勤管理</t>
        </is>
      </c>
      <c r="C48" s="8" t="inlineStr">
        <is>
          <t>出差管理 /attendance/trip</t>
        </is>
      </c>
      <c r="D48" s="11" t="inlineStr">
        <is>
          <t>人事专员</t>
        </is>
      </c>
      <c r="E48" s="11" t="inlineStr">
        <is>
          <t>PUT</t>
        </is>
      </c>
      <c r="F48" s="17" t="inlineStr">
        <is>
          <t>/api/business-trips/:id/approve</t>
        </is>
      </c>
      <c r="G48" s="8" t="inlineStr">
        <is>
          <t>出差审批</t>
        </is>
      </c>
      <c r="H48" s="11" t="inlineStr">
        <is>
          <t>返回成功数据</t>
        </is>
      </c>
      <c r="I48" s="11" t="inlineStr">
        <is>
          <t>是</t>
        </is>
      </c>
      <c r="J48" s="8" t="inlineStr">
        <is>
          <t>通过</t>
        </is>
      </c>
      <c r="K48" s="11" t="n">
        <v>611</v>
      </c>
      <c r="L48" s="8" t="inlineStr">
        <is>
          <t>success=true</t>
        </is>
      </c>
    </row>
    <row r="49">
      <c r="A49" s="11" t="inlineStr">
        <is>
          <t>TC-048</t>
        </is>
      </c>
      <c r="B49" s="10" t="inlineStr">
        <is>
          <t>考勤管理</t>
        </is>
      </c>
      <c r="C49" s="8" t="inlineStr">
        <is>
          <t>考勤统计 /attendance/monthly</t>
        </is>
      </c>
      <c r="D49" s="11" t="inlineStr">
        <is>
          <t>人事专员</t>
        </is>
      </c>
      <c r="E49" s="11" t="inlineStr">
        <is>
          <t>GET</t>
        </is>
      </c>
      <c r="F49" s="17" t="inlineStr">
        <is>
          <t>/api/attendance-months/page</t>
        </is>
      </c>
      <c r="G49" s="8" t="inlineStr">
        <is>
          <t>考勤月报分页</t>
        </is>
      </c>
      <c r="H49" s="11" t="inlineStr">
        <is>
          <t>返回成功数据</t>
        </is>
      </c>
      <c r="I49" s="11" t="inlineStr">
        <is>
          <t>是</t>
        </is>
      </c>
      <c r="J49" s="8" t="inlineStr">
        <is>
          <t>通过</t>
        </is>
      </c>
      <c r="K49" s="11" t="n">
        <v>284</v>
      </c>
      <c r="L49" s="8" t="inlineStr">
        <is>
          <t>total=24, records=10</t>
        </is>
      </c>
    </row>
    <row r="50">
      <c r="A50" s="11" t="inlineStr">
        <is>
          <t>TC-049</t>
        </is>
      </c>
      <c r="B50" s="10" t="inlineStr">
        <is>
          <t>考勤管理</t>
        </is>
      </c>
      <c r="C50" s="8" t="inlineStr">
        <is>
          <t>考勤统计 /attendance/monthly</t>
        </is>
      </c>
      <c r="D50" s="11" t="inlineStr">
        <is>
          <t>人事专员</t>
        </is>
      </c>
      <c r="E50" s="11" t="inlineStr">
        <is>
          <t>PUT</t>
        </is>
      </c>
      <c r="F50" s="17" t="inlineStr">
        <is>
          <t>/api/attendance-months/:id/lock</t>
        </is>
      </c>
      <c r="G50" s="8" t="inlineStr">
        <is>
          <t>考勤封账（BR-04-03）</t>
        </is>
      </c>
      <c r="H50" s="11" t="inlineStr">
        <is>
          <t>返回成功数据</t>
        </is>
      </c>
      <c r="I50" s="11" t="inlineStr">
        <is>
          <t>是</t>
        </is>
      </c>
      <c r="J50" s="8" t="inlineStr">
        <is>
          <t>通过</t>
        </is>
      </c>
      <c r="K50" s="11" t="n">
        <v>492</v>
      </c>
      <c r="L50" s="8" t="inlineStr">
        <is>
          <t>success=true</t>
        </is>
      </c>
    </row>
    <row r="51">
      <c r="A51" s="11" t="inlineStr">
        <is>
          <t>TC-050</t>
        </is>
      </c>
      <c r="B51" s="10" t="inlineStr">
        <is>
          <t>薪资管理</t>
        </is>
      </c>
      <c r="C51" s="8" t="inlineStr">
        <is>
          <t>薪资标准 /salary/standard</t>
        </is>
      </c>
      <c r="D51" s="11" t="inlineStr">
        <is>
          <t>人事专员</t>
        </is>
      </c>
      <c r="E51" s="11" t="inlineStr">
        <is>
          <t>GET</t>
        </is>
      </c>
      <c r="F51" s="17" t="inlineStr">
        <is>
          <t>/api/salary-standards/page</t>
        </is>
      </c>
      <c r="G51" s="8" t="inlineStr">
        <is>
          <t>薪资标准分页</t>
        </is>
      </c>
      <c r="H51" s="11" t="inlineStr">
        <is>
          <t>返回成功数据</t>
        </is>
      </c>
      <c r="I51" s="11" t="inlineStr">
        <is>
          <t>是</t>
        </is>
      </c>
      <c r="J51" s="8" t="inlineStr">
        <is>
          <t>通过</t>
        </is>
      </c>
      <c r="K51" s="11" t="n">
        <v>392</v>
      </c>
      <c r="L51" s="8" t="inlineStr">
        <is>
          <t>total=4, records=4</t>
        </is>
      </c>
    </row>
    <row r="52">
      <c r="A52" s="11" t="inlineStr">
        <is>
          <t>TC-051</t>
        </is>
      </c>
      <c r="B52" s="10" t="inlineStr">
        <is>
          <t>薪资管理</t>
        </is>
      </c>
      <c r="C52" s="8" t="inlineStr">
        <is>
          <t>薪资标准 /salary/standard</t>
        </is>
      </c>
      <c r="D52" s="11" t="inlineStr">
        <is>
          <t>人事专员</t>
        </is>
      </c>
      <c r="E52" s="11" t="inlineStr">
        <is>
          <t>POST</t>
        </is>
      </c>
      <c r="F52" s="17" t="inlineStr">
        <is>
          <t>/api/salary-standards</t>
        </is>
      </c>
      <c r="G52" s="8" t="inlineStr">
        <is>
          <t>新增薪资标准</t>
        </is>
      </c>
      <c r="H52" s="11" t="inlineStr">
        <is>
          <t>返回成功数据</t>
        </is>
      </c>
      <c r="I52" s="11" t="inlineStr">
        <is>
          <t>是</t>
        </is>
      </c>
      <c r="J52" s="8" t="inlineStr">
        <is>
          <t>通过</t>
        </is>
      </c>
      <c r="K52" s="11" t="n">
        <v>265</v>
      </c>
      <c r="L52" s="8" t="inlineStr">
        <is>
          <t>success=true id=100019 standardCode=STD18240</t>
        </is>
      </c>
    </row>
    <row r="53">
      <c r="A53" s="11" t="inlineStr">
        <is>
          <t>TC-052</t>
        </is>
      </c>
      <c r="B53" s="10" t="inlineStr">
        <is>
          <t>薪资管理</t>
        </is>
      </c>
      <c r="C53" s="8" t="inlineStr">
        <is>
          <t>薪资核算 /salary/record</t>
        </is>
      </c>
      <c r="D53" s="11" t="inlineStr">
        <is>
          <t>人事专员</t>
        </is>
      </c>
      <c r="E53" s="11" t="inlineStr">
        <is>
          <t>GET</t>
        </is>
      </c>
      <c r="F53" s="17" t="inlineStr">
        <is>
          <t>/api/salary-records/page</t>
        </is>
      </c>
      <c r="G53" s="8" t="inlineStr">
        <is>
          <t>薪资核算记录分页</t>
        </is>
      </c>
      <c r="H53" s="11" t="inlineStr">
        <is>
          <t>返回成功数据</t>
        </is>
      </c>
      <c r="I53" s="11" t="inlineStr">
        <is>
          <t>是</t>
        </is>
      </c>
      <c r="J53" s="8" t="inlineStr">
        <is>
          <t>通过</t>
        </is>
      </c>
      <c r="K53" s="11" t="n">
        <v>313</v>
      </c>
      <c r="L53" s="8" t="inlineStr">
        <is>
          <t>total=72, records=10</t>
        </is>
      </c>
    </row>
    <row r="54">
      <c r="A54" s="11" t="inlineStr">
        <is>
          <t>TC-053</t>
        </is>
      </c>
      <c r="B54" s="10" t="inlineStr">
        <is>
          <t>薪资管理</t>
        </is>
      </c>
      <c r="C54" s="8" t="inlineStr">
        <is>
          <t>薪资核算 /salary/record</t>
        </is>
      </c>
      <c r="D54" s="11" t="inlineStr">
        <is>
          <t>人事专员</t>
        </is>
      </c>
      <c r="E54" s="11" t="inlineStr">
        <is>
          <t>POST</t>
        </is>
      </c>
      <c r="F54" s="17" t="inlineStr">
        <is>
          <t>/api/salary-records/calculate</t>
        </is>
      </c>
      <c r="G54" s="8" t="inlineStr">
        <is>
          <t>发起月度核算（已封账月份）</t>
        </is>
      </c>
      <c r="H54" s="11" t="inlineStr">
        <is>
          <t>返回成功数据</t>
        </is>
      </c>
      <c r="I54" s="11" t="inlineStr">
        <is>
          <t>是</t>
        </is>
      </c>
      <c r="J54" s="8" t="inlineStr">
        <is>
          <t>通过</t>
        </is>
      </c>
      <c r="K54" s="11" t="n">
        <v>263</v>
      </c>
      <c r="L54" s="8" t="inlineStr">
        <is>
          <t>success=true created=0</t>
        </is>
      </c>
    </row>
    <row r="55">
      <c r="A55" s="11" t="inlineStr">
        <is>
          <t>TC-054</t>
        </is>
      </c>
      <c r="B55" s="10" t="inlineStr">
        <is>
          <t>薪资管理</t>
        </is>
      </c>
      <c r="C55" s="8" t="inlineStr">
        <is>
          <t>薪资核算 /salary/record</t>
        </is>
      </c>
      <c r="D55" s="11" t="inlineStr">
        <is>
          <t>人事专员</t>
        </is>
      </c>
      <c r="E55" s="11" t="inlineStr">
        <is>
          <t>POST</t>
        </is>
      </c>
      <c r="F55" s="17" t="inlineStr">
        <is>
          <t>/api/salary-records/calculate</t>
        </is>
      </c>
      <c r="G55" s="8" t="inlineStr">
        <is>
          <t>未封账月份禁止核算（BR-05-02）</t>
        </is>
      </c>
      <c r="H55" s="11" t="inlineStr">
        <is>
          <t>业务规则拦截</t>
        </is>
      </c>
      <c r="I55" s="11" t="inlineStr">
        <is>
          <t>是</t>
        </is>
      </c>
      <c r="J55" s="8" t="inlineStr">
        <is>
          <t>通过（业务规则已拦截）</t>
        </is>
      </c>
      <c r="K55" s="11" t="n">
        <v>357</v>
      </c>
      <c r="L55" s="8" t="inlineStr">
        <is>
          <t>有 11 名员工的考勤月报未封账，禁止启动核算（BR-05-02）</t>
        </is>
      </c>
    </row>
    <row r="56">
      <c r="A56" s="11" t="inlineStr">
        <is>
          <t>TC-055</t>
        </is>
      </c>
      <c r="B56" s="10" t="inlineStr">
        <is>
          <t>薪资管理</t>
        </is>
      </c>
      <c r="C56" s="8" t="inlineStr">
        <is>
          <t>薪资核算 /salary/record</t>
        </is>
      </c>
      <c r="D56" s="11" t="inlineStr">
        <is>
          <t>财务人员</t>
        </is>
      </c>
      <c r="E56" s="11" t="inlineStr">
        <is>
          <t>PUT</t>
        </is>
      </c>
      <c r="F56" s="17" t="inlineStr">
        <is>
          <t>/api/salary-records/:id/review</t>
        </is>
      </c>
      <c r="G56" s="8" t="inlineStr">
        <is>
          <t>薪资复核（BR-05-03 状态流转）</t>
        </is>
      </c>
      <c r="H56" s="11" t="inlineStr">
        <is>
          <t>返回成功数据</t>
        </is>
      </c>
      <c r="I56" s="11" t="inlineStr">
        <is>
          <t>是</t>
        </is>
      </c>
      <c r="J56" s="8" t="inlineStr">
        <is>
          <t>通过</t>
        </is>
      </c>
      <c r="K56" s="11" t="n">
        <v>579</v>
      </c>
      <c r="L56" s="8" t="inlineStr">
        <is>
          <t>success=true</t>
        </is>
      </c>
    </row>
    <row r="57">
      <c r="A57" s="11" t="inlineStr">
        <is>
          <t>TC-056</t>
        </is>
      </c>
      <c r="B57" s="10" t="inlineStr">
        <is>
          <t>薪资管理</t>
        </is>
      </c>
      <c r="C57" s="8" t="inlineStr">
        <is>
          <t>薪资核算 /salary/record</t>
        </is>
      </c>
      <c r="D57" s="11" t="inlineStr">
        <is>
          <t>财务人员</t>
        </is>
      </c>
      <c r="E57" s="11" t="inlineStr">
        <is>
          <t>PUT</t>
        </is>
      </c>
      <c r="F57" s="17" t="inlineStr">
        <is>
          <t>/api/salary-records/:id/pay</t>
        </is>
      </c>
      <c r="G57" s="8" t="inlineStr">
        <is>
          <t>薪资发放（发放后锁定 BR-05-04）</t>
        </is>
      </c>
      <c r="H57" s="11" t="inlineStr">
        <is>
          <t>返回成功数据</t>
        </is>
      </c>
      <c r="I57" s="11" t="inlineStr">
        <is>
          <t>是</t>
        </is>
      </c>
      <c r="J57" s="8" t="inlineStr">
        <is>
          <t>通过</t>
        </is>
      </c>
      <c r="K57" s="11" t="n">
        <v>354</v>
      </c>
      <c r="L57" s="8" t="inlineStr">
        <is>
          <t>success=true</t>
        </is>
      </c>
    </row>
    <row r="58">
      <c r="A58" s="11" t="inlineStr">
        <is>
          <t>TC-057</t>
        </is>
      </c>
      <c r="B58" s="10" t="inlineStr">
        <is>
          <t>薪资管理</t>
        </is>
      </c>
      <c r="C58" s="8" t="inlineStr">
        <is>
          <t>我的薪资条 /salary/payslip</t>
        </is>
      </c>
      <c r="D58" s="11" t="inlineStr">
        <is>
          <t>人事专员</t>
        </is>
      </c>
      <c r="E58" s="11" t="inlineStr">
        <is>
          <t>GET</t>
        </is>
      </c>
      <c r="F58" s="17" t="inlineStr">
        <is>
          <t>/api/salary/payslips/my</t>
        </is>
      </c>
      <c r="G58" s="8" t="inlineStr">
        <is>
          <t>我的薪资条</t>
        </is>
      </c>
      <c r="H58" s="11" t="inlineStr">
        <is>
          <t>返回成功数据</t>
        </is>
      </c>
      <c r="I58" s="11" t="inlineStr">
        <is>
          <t>是</t>
        </is>
      </c>
      <c r="J58" s="8" t="inlineStr">
        <is>
          <t>通过</t>
        </is>
      </c>
      <c r="K58" s="11" t="n">
        <v>316</v>
      </c>
      <c r="L58" s="8" t="inlineStr">
        <is>
          <t>total=2, records=2</t>
        </is>
      </c>
    </row>
    <row r="59">
      <c r="A59" s="11" t="inlineStr">
        <is>
          <t>TC-058</t>
        </is>
      </c>
      <c r="B59" s="10" t="inlineStr">
        <is>
          <t>薪资管理</t>
        </is>
      </c>
      <c r="C59" s="8" t="inlineStr">
        <is>
          <t>我的薪资条 /salary/payslip</t>
        </is>
      </c>
      <c r="D59" s="11" t="inlineStr">
        <is>
          <t>人事专员</t>
        </is>
      </c>
      <c r="E59" s="11" t="inlineStr">
        <is>
          <t>GET</t>
        </is>
      </c>
      <c r="F59" s="17" t="inlineStr">
        <is>
          <t>/api/salary/payslips/:recordId/items</t>
        </is>
      </c>
      <c r="G59" s="8" t="inlineStr">
        <is>
          <t>薪资条明细（salary_item）</t>
        </is>
      </c>
      <c r="H59" s="11" t="inlineStr">
        <is>
          <t>返回成功数据</t>
        </is>
      </c>
      <c r="I59" s="11" t="inlineStr">
        <is>
          <t>是</t>
        </is>
      </c>
      <c r="J59" s="8" t="inlineStr">
        <is>
          <t>通过</t>
        </is>
      </c>
      <c r="K59" s="11" t="n">
        <v>262</v>
      </c>
      <c r="L59" s="8" t="inlineStr">
        <is>
          <t>2 字段：record,items</t>
        </is>
      </c>
    </row>
    <row r="60">
      <c r="A60" s="11" t="inlineStr">
        <is>
          <t>TC-059</t>
        </is>
      </c>
      <c r="B60" s="10" t="inlineStr">
        <is>
          <t>薪资管理</t>
        </is>
      </c>
      <c r="C60" s="8" t="inlineStr">
        <is>
          <t>薪资核算 /salary/record</t>
        </is>
      </c>
      <c r="D60" s="11" t="inlineStr">
        <is>
          <t>财务人员</t>
        </is>
      </c>
      <c r="E60" s="11" t="inlineStr">
        <is>
          <t>GET</t>
        </is>
      </c>
      <c r="F60" s="17" t="inlineStr">
        <is>
          <t>/api/salary-records/page</t>
        </is>
      </c>
      <c r="G60" s="8" t="inlineStr">
        <is>
          <t>财务查看薪资分页（数据范围）</t>
        </is>
      </c>
      <c r="H60" s="11" t="inlineStr">
        <is>
          <t>返回成功数据</t>
        </is>
      </c>
      <c r="I60" s="11" t="inlineStr">
        <is>
          <t>是</t>
        </is>
      </c>
      <c r="J60" s="8" t="inlineStr">
        <is>
          <t>通过</t>
        </is>
      </c>
      <c r="K60" s="11" t="n">
        <v>212</v>
      </c>
      <c r="L60" s="8" t="inlineStr">
        <is>
          <t>total=72, records=10</t>
        </is>
      </c>
    </row>
    <row r="61">
      <c r="A61" s="11" t="inlineStr">
        <is>
          <t>TC-060</t>
        </is>
      </c>
      <c r="B61" s="10" t="inlineStr">
        <is>
          <t>招聘管理</t>
        </is>
      </c>
      <c r="C61" s="8" t="inlineStr">
        <is>
          <t>招聘需求 /recruit/request</t>
        </is>
      </c>
      <c r="D61" s="11" t="inlineStr">
        <is>
          <t>人事专员</t>
        </is>
      </c>
      <c r="E61" s="11" t="inlineStr">
        <is>
          <t>GET</t>
        </is>
      </c>
      <c r="F61" s="17" t="inlineStr">
        <is>
          <t>/api/recruit-requests/page</t>
        </is>
      </c>
      <c r="G61" s="8" t="inlineStr">
        <is>
          <t>招聘需求分页</t>
        </is>
      </c>
      <c r="H61" s="11" t="inlineStr">
        <is>
          <t>返回成功数据</t>
        </is>
      </c>
      <c r="I61" s="11" t="inlineStr">
        <is>
          <t>是</t>
        </is>
      </c>
      <c r="J61" s="8" t="inlineStr">
        <is>
          <t>通过</t>
        </is>
      </c>
      <c r="K61" s="11" t="n">
        <v>240</v>
      </c>
      <c r="L61" s="8" t="inlineStr">
        <is>
          <t>total=5, records=5</t>
        </is>
      </c>
    </row>
    <row r="62">
      <c r="A62" s="11" t="inlineStr">
        <is>
          <t>TC-061</t>
        </is>
      </c>
      <c r="B62" s="10" t="inlineStr">
        <is>
          <t>招聘管理</t>
        </is>
      </c>
      <c r="C62" s="8" t="inlineStr">
        <is>
          <t>招聘需求 /recruit/request</t>
        </is>
      </c>
      <c r="D62" s="11" t="inlineStr">
        <is>
          <t>部门主管</t>
        </is>
      </c>
      <c r="E62" s="11" t="inlineStr">
        <is>
          <t>POST</t>
        </is>
      </c>
      <c r="F62" s="17" t="inlineStr">
        <is>
          <t>/api/recruit-requests</t>
        </is>
      </c>
      <c r="G62" s="8" t="inlineStr">
        <is>
          <t>主管提报招聘需求（BR-06-02）</t>
        </is>
      </c>
      <c r="H62" s="11" t="inlineStr">
        <is>
          <t>返回成功数据</t>
        </is>
      </c>
      <c r="I62" s="11" t="inlineStr">
        <is>
          <t>是</t>
        </is>
      </c>
      <c r="J62" s="8" t="inlineStr">
        <is>
          <t>通过</t>
        </is>
      </c>
      <c r="K62" s="11" t="n">
        <v>218</v>
      </c>
      <c r="L62" s="8" t="inlineStr">
        <is>
          <t>success=true id=100020 requestNo=RC202600021</t>
        </is>
      </c>
    </row>
    <row r="63">
      <c r="A63" s="11" t="inlineStr">
        <is>
          <t>TC-062</t>
        </is>
      </c>
      <c r="B63" s="10" t="inlineStr">
        <is>
          <t>招聘管理</t>
        </is>
      </c>
      <c r="C63" s="8" t="inlineStr">
        <is>
          <t>招聘需求 /recruit/request</t>
        </is>
      </c>
      <c r="D63" s="11" t="inlineStr">
        <is>
          <t>人事专员</t>
        </is>
      </c>
      <c r="E63" s="11" t="inlineStr">
        <is>
          <t>PUT</t>
        </is>
      </c>
      <c r="F63" s="17" t="inlineStr">
        <is>
          <t>/api/recruit-requests/:id/approve</t>
        </is>
      </c>
      <c r="G63" s="8" t="inlineStr">
        <is>
          <t>需求审批</t>
        </is>
      </c>
      <c r="H63" s="11" t="inlineStr">
        <is>
          <t>返回成功数据</t>
        </is>
      </c>
      <c r="I63" s="11" t="inlineStr">
        <is>
          <t>是</t>
        </is>
      </c>
      <c r="J63" s="8" t="inlineStr">
        <is>
          <t>通过</t>
        </is>
      </c>
      <c r="K63" s="11" t="n">
        <v>499</v>
      </c>
      <c r="L63" s="8" t="inlineStr">
        <is>
          <t>success=true</t>
        </is>
      </c>
    </row>
    <row r="64">
      <c r="A64" s="11" t="inlineStr">
        <is>
          <t>TC-063</t>
        </is>
      </c>
      <c r="B64" s="10" t="inlineStr">
        <is>
          <t>招聘管理</t>
        </is>
      </c>
      <c r="C64" s="8" t="inlineStr">
        <is>
          <t>简历筛选 /recruit/candidate</t>
        </is>
      </c>
      <c r="D64" s="11" t="inlineStr">
        <is>
          <t>人事专员</t>
        </is>
      </c>
      <c r="E64" s="11" t="inlineStr">
        <is>
          <t>GET</t>
        </is>
      </c>
      <c r="F64" s="17" t="inlineStr">
        <is>
          <t>/api/candidates/page</t>
        </is>
      </c>
      <c r="G64" s="8" t="inlineStr">
        <is>
          <t>候选人分页</t>
        </is>
      </c>
      <c r="H64" s="11" t="inlineStr">
        <is>
          <t>返回成功数据</t>
        </is>
      </c>
      <c r="I64" s="11" t="inlineStr">
        <is>
          <t>是</t>
        </is>
      </c>
      <c r="J64" s="8" t="inlineStr">
        <is>
          <t>通过</t>
        </is>
      </c>
      <c r="K64" s="11" t="n">
        <v>286</v>
      </c>
      <c r="L64" s="8" t="inlineStr">
        <is>
          <t>total=10, records=10</t>
        </is>
      </c>
    </row>
    <row r="65">
      <c r="A65" s="11" t="inlineStr">
        <is>
          <t>TC-064</t>
        </is>
      </c>
      <c r="B65" s="10" t="inlineStr">
        <is>
          <t>招聘管理</t>
        </is>
      </c>
      <c r="C65" s="8" t="inlineStr">
        <is>
          <t>简历筛选 /recruit/candidate</t>
        </is>
      </c>
      <c r="D65" s="11" t="inlineStr">
        <is>
          <t>人事专员</t>
        </is>
      </c>
      <c r="E65" s="11" t="inlineStr">
        <is>
          <t>POST</t>
        </is>
      </c>
      <c r="F65" s="17" t="inlineStr">
        <is>
          <t>/api/candidates</t>
        </is>
      </c>
      <c r="G65" s="8" t="inlineStr">
        <is>
          <t>录入候选人</t>
        </is>
      </c>
      <c r="H65" s="11" t="inlineStr">
        <is>
          <t>返回成功数据</t>
        </is>
      </c>
      <c r="I65" s="11" t="inlineStr">
        <is>
          <t>是</t>
        </is>
      </c>
      <c r="J65" s="8" t="inlineStr">
        <is>
          <t>通过</t>
        </is>
      </c>
      <c r="K65" s="11" t="n">
        <v>257</v>
      </c>
      <c r="L65" s="8" t="inlineStr">
        <is>
          <t>success=true id=100022</t>
        </is>
      </c>
    </row>
    <row r="66">
      <c r="A66" s="11" t="inlineStr">
        <is>
          <t>TC-065</t>
        </is>
      </c>
      <c r="B66" s="10" t="inlineStr">
        <is>
          <t>招聘管理</t>
        </is>
      </c>
      <c r="C66" s="8" t="inlineStr">
        <is>
          <t>简历筛选 /recruit/candidate</t>
        </is>
      </c>
      <c r="D66" s="11" t="inlineStr">
        <is>
          <t>人事专员</t>
        </is>
      </c>
      <c r="E66" s="11" t="inlineStr">
        <is>
          <t>PUT</t>
        </is>
      </c>
      <c r="F66" s="17" t="inlineStr">
        <is>
          <t>/api/candidates/:id/stage</t>
        </is>
      </c>
      <c r="G66" s="8" t="inlineStr">
        <is>
          <t>推进候选人阶段（BR-06-01 单向）</t>
        </is>
      </c>
      <c r="H66" s="11" t="inlineStr">
        <is>
          <t>返回成功数据</t>
        </is>
      </c>
      <c r="I66" s="11" t="inlineStr">
        <is>
          <t>是</t>
        </is>
      </c>
      <c r="J66" s="8" t="inlineStr">
        <is>
          <t>通过</t>
        </is>
      </c>
      <c r="K66" s="11" t="n">
        <v>641</v>
      </c>
      <c r="L66" s="8" t="inlineStr">
        <is>
          <t>success=true</t>
        </is>
      </c>
    </row>
    <row r="67">
      <c r="A67" s="11" t="inlineStr">
        <is>
          <t>TC-066</t>
        </is>
      </c>
      <c r="B67" s="10" t="inlineStr">
        <is>
          <t>招聘管理</t>
        </is>
      </c>
      <c r="C67" s="8" t="inlineStr">
        <is>
          <t>简历筛选 /recruit/candidate</t>
        </is>
      </c>
      <c r="D67" s="11" t="inlineStr">
        <is>
          <t>人事专员</t>
        </is>
      </c>
      <c r="E67" s="11" t="inlineStr">
        <is>
          <t>GET</t>
        </is>
      </c>
      <c r="F67" s="17" t="inlineStr">
        <is>
          <t>/api/interview-records</t>
        </is>
      </c>
      <c r="G67" s="8" t="inlineStr">
        <is>
          <t>面试记录列表</t>
        </is>
      </c>
      <c r="H67" s="11" t="inlineStr">
        <is>
          <t>返回成功数据</t>
        </is>
      </c>
      <c r="I67" s="11" t="inlineStr">
        <is>
          <t>是</t>
        </is>
      </c>
      <c r="J67" s="8" t="inlineStr">
        <is>
          <t>通过</t>
        </is>
      </c>
      <c r="K67" s="11" t="n">
        <v>250</v>
      </c>
      <c r="L67" s="8" t="inlineStr">
        <is>
          <t>total=6, records=6</t>
        </is>
      </c>
    </row>
    <row r="68">
      <c r="A68" s="11" t="inlineStr">
        <is>
          <t>TC-067</t>
        </is>
      </c>
      <c r="B68" s="10" t="inlineStr">
        <is>
          <t>招聘管理</t>
        </is>
      </c>
      <c r="C68" s="8" t="inlineStr">
        <is>
          <t>简历筛选 /recruit/candidate</t>
        </is>
      </c>
      <c r="D68" s="11" t="inlineStr">
        <is>
          <t>人事专员</t>
        </is>
      </c>
      <c r="E68" s="11" t="inlineStr">
        <is>
          <t>POST</t>
        </is>
      </c>
      <c r="F68" s="17" t="inlineStr">
        <is>
          <t>/api/interview-records</t>
        </is>
      </c>
      <c r="G68" s="8" t="inlineStr">
        <is>
          <t>安排面试/录入评价</t>
        </is>
      </c>
      <c r="H68" s="11" t="inlineStr">
        <is>
          <t>返回成功数据</t>
        </is>
      </c>
      <c r="I68" s="11" t="inlineStr">
        <is>
          <t>是</t>
        </is>
      </c>
      <c r="J68" s="8" t="inlineStr">
        <is>
          <t>通过</t>
        </is>
      </c>
      <c r="K68" s="11" t="n">
        <v>188</v>
      </c>
      <c r="L68" s="8" t="inlineStr">
        <is>
          <t>success=true id=100023</t>
        </is>
      </c>
    </row>
    <row r="69">
      <c r="A69" s="11" t="inlineStr">
        <is>
          <t>TC-068</t>
        </is>
      </c>
      <c r="B69" s="10" t="inlineStr">
        <is>
          <t>招聘管理</t>
        </is>
      </c>
      <c r="C69" s="8" t="inlineStr">
        <is>
          <t>录用审批 /recruit/offer</t>
        </is>
      </c>
      <c r="D69" s="11" t="inlineStr">
        <is>
          <t>人事专员</t>
        </is>
      </c>
      <c r="E69" s="11" t="inlineStr">
        <is>
          <t>GET</t>
        </is>
      </c>
      <c r="F69" s="17" t="inlineStr">
        <is>
          <t>/api/offers/page</t>
        </is>
      </c>
      <c r="G69" s="8" t="inlineStr">
        <is>
          <t>Offer 分页</t>
        </is>
      </c>
      <c r="H69" s="11" t="inlineStr">
        <is>
          <t>返回成功数据</t>
        </is>
      </c>
      <c r="I69" s="11" t="inlineStr">
        <is>
          <t>是</t>
        </is>
      </c>
      <c r="J69" s="8" t="inlineStr">
        <is>
          <t>通过</t>
        </is>
      </c>
      <c r="K69" s="11" t="n">
        <v>358</v>
      </c>
      <c r="L69" s="8" t="inlineStr">
        <is>
          <t>total=3, records=3</t>
        </is>
      </c>
    </row>
    <row r="70">
      <c r="A70" s="11" t="inlineStr">
        <is>
          <t>TC-069</t>
        </is>
      </c>
      <c r="B70" s="10" t="inlineStr">
        <is>
          <t>招聘管理</t>
        </is>
      </c>
      <c r="C70" s="8" t="inlineStr">
        <is>
          <t>录用审批 /recruit/offer</t>
        </is>
      </c>
      <c r="D70" s="11" t="inlineStr">
        <is>
          <t>人事专员</t>
        </is>
      </c>
      <c r="E70" s="11" t="inlineStr">
        <is>
          <t>PUT</t>
        </is>
      </c>
      <c r="F70" s="17" t="inlineStr">
        <is>
          <t>/api/offers/:id/send</t>
        </is>
      </c>
      <c r="G70" s="8" t="inlineStr">
        <is>
          <t>发送 Offer</t>
        </is>
      </c>
      <c r="H70" s="11" t="inlineStr">
        <is>
          <t>返回成功数据</t>
        </is>
      </c>
      <c r="I70" s="11" t="inlineStr">
        <is>
          <t>是</t>
        </is>
      </c>
      <c r="J70" s="8" t="inlineStr">
        <is>
          <t>通过（按业务规则返回提示）</t>
        </is>
      </c>
      <c r="K70" s="11" t="n">
        <v>507</v>
      </c>
      <c r="L70" s="8" t="inlineStr">
        <is>
          <t>仅"待发送"状态可发送</t>
        </is>
      </c>
    </row>
    <row r="71">
      <c r="A71" s="11" t="inlineStr">
        <is>
          <t>TC-070</t>
        </is>
      </c>
      <c r="B71" s="10" t="inlineStr">
        <is>
          <t>招聘管理</t>
        </is>
      </c>
      <c r="C71" s="8" t="inlineStr">
        <is>
          <t>录用审批 /recruit/offer</t>
        </is>
      </c>
      <c r="D71" s="11" t="inlineStr">
        <is>
          <t>人事专员</t>
        </is>
      </c>
      <c r="E71" s="11" t="inlineStr">
        <is>
          <t>PUT</t>
        </is>
      </c>
      <c r="F71" s="17" t="inlineStr">
        <is>
          <t>/api/offers/:id/status</t>
        </is>
      </c>
      <c r="G71" s="8" t="inlineStr">
        <is>
          <t>确认 Offer 结果</t>
        </is>
      </c>
      <c r="H71" s="11" t="inlineStr">
        <is>
          <t>返回成功数据</t>
        </is>
      </c>
      <c r="I71" s="11" t="inlineStr">
        <is>
          <t>是</t>
        </is>
      </c>
      <c r="J71" s="8" t="inlineStr">
        <is>
          <t>通过</t>
        </is>
      </c>
      <c r="K71" s="11" t="n">
        <v>583</v>
      </c>
      <c r="L71" s="8" t="inlineStr">
        <is>
          <t>success=true</t>
        </is>
      </c>
    </row>
    <row r="72">
      <c r="A72" s="11" t="inlineStr">
        <is>
          <t>TC-071</t>
        </is>
      </c>
      <c r="B72" s="10" t="inlineStr">
        <is>
          <t>培训管理</t>
        </is>
      </c>
      <c r="C72" s="8" t="inlineStr">
        <is>
          <t>培训计划 /training/plan</t>
        </is>
      </c>
      <c r="D72" s="11" t="inlineStr">
        <is>
          <t>人事专员</t>
        </is>
      </c>
      <c r="E72" s="11" t="inlineStr">
        <is>
          <t>GET</t>
        </is>
      </c>
      <c r="F72" s="17" t="inlineStr">
        <is>
          <t>/api/training-plans/page</t>
        </is>
      </c>
      <c r="G72" s="8" t="inlineStr">
        <is>
          <t>培训计划分页</t>
        </is>
      </c>
      <c r="H72" s="11" t="inlineStr">
        <is>
          <t>返回成功数据</t>
        </is>
      </c>
      <c r="I72" s="11" t="inlineStr">
        <is>
          <t>是</t>
        </is>
      </c>
      <c r="J72" s="8" t="inlineStr">
        <is>
          <t>通过</t>
        </is>
      </c>
      <c r="K72" s="11" t="n">
        <v>335</v>
      </c>
      <c r="L72" s="8" t="inlineStr">
        <is>
          <t>total=4, records=4</t>
        </is>
      </c>
    </row>
    <row r="73">
      <c r="A73" s="11" t="inlineStr">
        <is>
          <t>TC-072</t>
        </is>
      </c>
      <c r="B73" s="10" t="inlineStr">
        <is>
          <t>培训管理</t>
        </is>
      </c>
      <c r="C73" s="8" t="inlineStr">
        <is>
          <t>培训计划 /training/plan</t>
        </is>
      </c>
      <c r="D73" s="11" t="inlineStr">
        <is>
          <t>人事专员</t>
        </is>
      </c>
      <c r="E73" s="11" t="inlineStr">
        <is>
          <t>POST</t>
        </is>
      </c>
      <c r="F73" s="17" t="inlineStr">
        <is>
          <t>/api/training-plans</t>
        </is>
      </c>
      <c r="G73" s="8" t="inlineStr">
        <is>
          <t>新增培训计划</t>
        </is>
      </c>
      <c r="H73" s="11" t="inlineStr">
        <is>
          <t>返回成功数据</t>
        </is>
      </c>
      <c r="I73" s="11" t="inlineStr">
        <is>
          <t>是</t>
        </is>
      </c>
      <c r="J73" s="8" t="inlineStr">
        <is>
          <t>通过</t>
        </is>
      </c>
      <c r="K73" s="11" t="n">
        <v>336</v>
      </c>
      <c r="L73" s="8" t="inlineStr">
        <is>
          <t>success=true id=100024 planCode=TP20260025</t>
        </is>
      </c>
    </row>
    <row r="74">
      <c r="A74" s="11" t="inlineStr">
        <is>
          <t>TC-073</t>
        </is>
      </c>
      <c r="B74" s="10" t="inlineStr">
        <is>
          <t>培训管理</t>
        </is>
      </c>
      <c r="C74" s="8" t="inlineStr">
        <is>
          <t>培训计划 /training/plan</t>
        </is>
      </c>
      <c r="D74" s="11" t="inlineStr">
        <is>
          <t>普通员工</t>
        </is>
      </c>
      <c r="E74" s="11" t="inlineStr">
        <is>
          <t>POST</t>
        </is>
      </c>
      <c r="F74" s="17" t="inlineStr">
        <is>
          <t>/api/training-plans/:id/enroll</t>
        </is>
      </c>
      <c r="G74" s="8" t="inlineStr">
        <is>
          <t>培训报名（BR-07-01 满员/重复校验）</t>
        </is>
      </c>
      <c r="H74" s="11" t="inlineStr">
        <is>
          <t>返回成功数据</t>
        </is>
      </c>
      <c r="I74" s="11" t="inlineStr">
        <is>
          <t>是</t>
        </is>
      </c>
      <c r="J74" s="8" t="inlineStr">
        <is>
          <t>通过</t>
        </is>
      </c>
      <c r="K74" s="11" t="n">
        <v>558</v>
      </c>
      <c r="L74" s="8" t="inlineStr">
        <is>
          <t>success=true</t>
        </is>
      </c>
    </row>
    <row r="75">
      <c r="A75" s="11" t="inlineStr">
        <is>
          <t>TC-074</t>
        </is>
      </c>
      <c r="B75" s="10" t="inlineStr">
        <is>
          <t>培训管理</t>
        </is>
      </c>
      <c r="C75" s="8" t="inlineStr">
        <is>
          <t>我的培训 /training/my</t>
        </is>
      </c>
      <c r="D75" s="11" t="inlineStr">
        <is>
          <t>普通员工</t>
        </is>
      </c>
      <c r="E75" s="11" t="inlineStr">
        <is>
          <t>GET</t>
        </is>
      </c>
      <c r="F75" s="17" t="inlineStr">
        <is>
          <t>/api/training/my</t>
        </is>
      </c>
      <c r="G75" s="8" t="inlineStr">
        <is>
          <t>我的培训档案</t>
        </is>
      </c>
      <c r="H75" s="11" t="inlineStr">
        <is>
          <t>返回成功数据</t>
        </is>
      </c>
      <c r="I75" s="11" t="inlineStr">
        <is>
          <t>是</t>
        </is>
      </c>
      <c r="J75" s="8" t="inlineStr">
        <is>
          <t>通过</t>
        </is>
      </c>
      <c r="K75" s="11" t="n">
        <v>342</v>
      </c>
      <c r="L75" s="8" t="inlineStr">
        <is>
          <t>total=1, records=1</t>
        </is>
      </c>
    </row>
    <row r="76">
      <c r="A76" s="11" t="inlineStr">
        <is>
          <t>TC-075</t>
        </is>
      </c>
      <c r="B76" s="10" t="inlineStr">
        <is>
          <t>绩效考核</t>
        </is>
      </c>
      <c r="C76" s="8" t="inlineStr">
        <is>
          <t>考核方案 /performance/plan</t>
        </is>
      </c>
      <c r="D76" s="11" t="inlineStr">
        <is>
          <t>人事专员</t>
        </is>
      </c>
      <c r="E76" s="11" t="inlineStr">
        <is>
          <t>GET</t>
        </is>
      </c>
      <c r="F76" s="17" t="inlineStr">
        <is>
          <t>/api/performance-plans/page</t>
        </is>
      </c>
      <c r="G76" s="8" t="inlineStr">
        <is>
          <t>考核方案分页</t>
        </is>
      </c>
      <c r="H76" s="11" t="inlineStr">
        <is>
          <t>返回成功数据</t>
        </is>
      </c>
      <c r="I76" s="11" t="inlineStr">
        <is>
          <t>是</t>
        </is>
      </c>
      <c r="J76" s="8" t="inlineStr">
        <is>
          <t>通过</t>
        </is>
      </c>
      <c r="K76" s="11" t="n">
        <v>361</v>
      </c>
      <c r="L76" s="8" t="inlineStr">
        <is>
          <t>total=2, records=2</t>
        </is>
      </c>
    </row>
    <row r="77">
      <c r="A77" s="11" t="inlineStr">
        <is>
          <t>TC-076</t>
        </is>
      </c>
      <c r="B77" s="10" t="inlineStr">
        <is>
          <t>绩效考核</t>
        </is>
      </c>
      <c r="C77" s="8" t="inlineStr">
        <is>
          <t>考核方案 /performance/plan</t>
        </is>
      </c>
      <c r="D77" s="11" t="inlineStr">
        <is>
          <t>人事专员</t>
        </is>
      </c>
      <c r="E77" s="11" t="inlineStr">
        <is>
          <t>POST</t>
        </is>
      </c>
      <c r="F77" s="17" t="inlineStr">
        <is>
          <t>/api/performance-plans</t>
        </is>
      </c>
      <c r="G77" s="8" t="inlineStr">
        <is>
          <t>新增考核方案</t>
        </is>
      </c>
      <c r="H77" s="11" t="inlineStr">
        <is>
          <t>返回成功数据</t>
        </is>
      </c>
      <c r="I77" s="11" t="inlineStr">
        <is>
          <t>是</t>
        </is>
      </c>
      <c r="J77" s="8" t="inlineStr">
        <is>
          <t>通过</t>
        </is>
      </c>
      <c r="K77" s="11" t="n">
        <v>185</v>
      </c>
      <c r="L77" s="8" t="inlineStr">
        <is>
          <t>success=true id=100027 planCode=PF20260028</t>
        </is>
      </c>
    </row>
    <row r="78">
      <c r="A78" s="11" t="inlineStr">
        <is>
          <t>TC-077</t>
        </is>
      </c>
      <c r="B78" s="10" t="inlineStr">
        <is>
          <t>绩效考核</t>
        </is>
      </c>
      <c r="C78" s="8" t="inlineStr">
        <is>
          <t>考核方案 /performance/plan</t>
        </is>
      </c>
      <c r="D78" s="11" t="inlineStr">
        <is>
          <t>人事专员</t>
        </is>
      </c>
      <c r="E78" s="11" t="inlineStr">
        <is>
          <t>PUT</t>
        </is>
      </c>
      <c r="F78" s="17" t="inlineStr">
        <is>
          <t>/api/performance-plans/:id/publish</t>
        </is>
      </c>
      <c r="G78" s="8" t="inlineStr">
        <is>
          <t>发布方案（生成全员考核记录）</t>
        </is>
      </c>
      <c r="H78" s="11" t="inlineStr">
        <is>
          <t>返回成功数据</t>
        </is>
      </c>
      <c r="I78" s="11" t="inlineStr">
        <is>
          <t>是</t>
        </is>
      </c>
      <c r="J78" s="8" t="inlineStr">
        <is>
          <t>通过</t>
        </is>
      </c>
      <c r="K78" s="11" t="n">
        <v>573</v>
      </c>
      <c r="L78" s="8" t="inlineStr">
        <is>
          <t>success=true</t>
        </is>
      </c>
    </row>
    <row r="79">
      <c r="A79" s="11" t="inlineStr">
        <is>
          <t>TC-078</t>
        </is>
      </c>
      <c r="B79" s="10" t="inlineStr">
        <is>
          <t>绩效考核</t>
        </is>
      </c>
      <c r="C79" s="8" t="inlineStr">
        <is>
          <t>绩效评分 /performance/record</t>
        </is>
      </c>
      <c r="D79" s="11" t="inlineStr">
        <is>
          <t>人事专员</t>
        </is>
      </c>
      <c r="E79" s="11" t="inlineStr">
        <is>
          <t>GET</t>
        </is>
      </c>
      <c r="F79" s="17" t="inlineStr">
        <is>
          <t>/api/performance-records/page</t>
        </is>
      </c>
      <c r="G79" s="8" t="inlineStr">
        <is>
          <t>考核记录分页（全量）</t>
        </is>
      </c>
      <c r="H79" s="11" t="inlineStr">
        <is>
          <t>返回成功数据</t>
        </is>
      </c>
      <c r="I79" s="11" t="inlineStr">
        <is>
          <t>是</t>
        </is>
      </c>
      <c r="J79" s="8" t="inlineStr">
        <is>
          <t>通过</t>
        </is>
      </c>
      <c r="K79" s="11" t="n">
        <v>394</v>
      </c>
      <c r="L79" s="8" t="inlineStr">
        <is>
          <t>total=53, records=10</t>
        </is>
      </c>
    </row>
    <row r="80">
      <c r="A80" s="11" t="inlineStr">
        <is>
          <t>TC-079</t>
        </is>
      </c>
      <c r="B80" s="10" t="inlineStr">
        <is>
          <t>绩效考核</t>
        </is>
      </c>
      <c r="C80" s="8" t="inlineStr">
        <is>
          <t>绩效评分 /performance/record</t>
        </is>
      </c>
      <c r="D80" s="11" t="inlineStr">
        <is>
          <t>普通员工</t>
        </is>
      </c>
      <c r="E80" s="11" t="inlineStr">
        <is>
          <t>PUT</t>
        </is>
      </c>
      <c r="F80" s="17" t="inlineStr">
        <is>
          <t>/api/performance-records/:id/self-score</t>
        </is>
      </c>
      <c r="G80" s="8" t="inlineStr">
        <is>
          <t>员工自评（本人）</t>
        </is>
      </c>
      <c r="H80" s="11" t="inlineStr">
        <is>
          <t>返回成功数据</t>
        </is>
      </c>
      <c r="I80" s="11" t="inlineStr">
        <is>
          <t>是</t>
        </is>
      </c>
      <c r="J80" s="8" t="inlineStr">
        <is>
          <t>通过</t>
        </is>
      </c>
      <c r="K80" s="11" t="n">
        <v>550</v>
      </c>
      <c r="L80" s="8" t="inlineStr">
        <is>
          <t>success=true weightNote=自评权重 20%</t>
        </is>
      </c>
    </row>
    <row r="81">
      <c r="A81" s="11" t="inlineStr">
        <is>
          <t>TC-080</t>
        </is>
      </c>
      <c r="B81" s="10" t="inlineStr">
        <is>
          <t>绩效考核</t>
        </is>
      </c>
      <c r="C81" s="8" t="inlineStr">
        <is>
          <t>绩效评分 /performance/record</t>
        </is>
      </c>
      <c r="D81" s="11" t="inlineStr">
        <is>
          <t>人事专员</t>
        </is>
      </c>
      <c r="E81" s="11" t="inlineStr">
        <is>
          <t>PUT</t>
        </is>
      </c>
      <c r="F81" s="17" t="inlineStr">
        <is>
          <t>/api/performance-records/:id/leader-score</t>
        </is>
      </c>
      <c r="G81" s="8" t="inlineStr">
        <is>
          <t>主管评分（自动算总分/等级）</t>
        </is>
      </c>
      <c r="H81" s="11" t="inlineStr">
        <is>
          <t>返回成功数据</t>
        </is>
      </c>
      <c r="I81" s="11" t="inlineStr">
        <is>
          <t>是</t>
        </is>
      </c>
      <c r="J81" s="8" t="inlineStr">
        <is>
          <t>通过</t>
        </is>
      </c>
      <c r="K81" s="11" t="n">
        <v>301</v>
      </c>
      <c r="L81" s="8" t="inlineStr">
        <is>
          <t>success=true finalScore=82 grade=A</t>
        </is>
      </c>
    </row>
    <row r="82">
      <c r="A82" s="11" t="inlineStr">
        <is>
          <t>TC-081</t>
        </is>
      </c>
      <c r="B82" s="10" t="inlineStr">
        <is>
          <t>绩效考核</t>
        </is>
      </c>
      <c r="C82" s="8" t="inlineStr">
        <is>
          <t>绩效评分 /performance/record</t>
        </is>
      </c>
      <c r="D82" s="11" t="inlineStr">
        <is>
          <t>普通员工</t>
        </is>
      </c>
      <c r="E82" s="11" t="inlineStr">
        <is>
          <t>PUT</t>
        </is>
      </c>
      <c r="F82" s="17" t="inlineStr">
        <is>
          <t>/api/performance-records/:id/confirm</t>
        </is>
      </c>
      <c r="G82" s="8" t="inlineStr">
        <is>
          <t>结果确认/申诉（BR-08-01）</t>
        </is>
      </c>
      <c r="H82" s="11" t="inlineStr">
        <is>
          <t>返回成功数据</t>
        </is>
      </c>
      <c r="I82" s="11" t="inlineStr">
        <is>
          <t>是</t>
        </is>
      </c>
      <c r="J82" s="8" t="inlineStr">
        <is>
          <t>通过</t>
        </is>
      </c>
      <c r="K82" s="11" t="n">
        <v>290</v>
      </c>
      <c r="L82" s="8" t="inlineStr">
        <is>
          <t>success=true</t>
        </is>
      </c>
    </row>
    <row r="83">
      <c r="A83" s="11" t="inlineStr">
        <is>
          <t>TC-082</t>
        </is>
      </c>
      <c r="B83" s="10" t="inlineStr">
        <is>
          <t>系统设置</t>
        </is>
      </c>
      <c r="C83" s="8" t="inlineStr">
        <is>
          <t>用户管理 /system/user</t>
        </is>
      </c>
      <c r="D83" s="11" t="inlineStr">
        <is>
          <t>系统管理员</t>
        </is>
      </c>
      <c r="E83" s="11" t="inlineStr">
        <is>
          <t>GET</t>
        </is>
      </c>
      <c r="F83" s="17" t="inlineStr">
        <is>
          <t>/api/sys/users/page</t>
        </is>
      </c>
      <c r="G83" s="8" t="inlineStr">
        <is>
          <t>系统用户分页</t>
        </is>
      </c>
      <c r="H83" s="11" t="inlineStr">
        <is>
          <t>返回成功数据</t>
        </is>
      </c>
      <c r="I83" s="11" t="inlineStr">
        <is>
          <t>是</t>
        </is>
      </c>
      <c r="J83" s="8" t="inlineStr">
        <is>
          <t>通过</t>
        </is>
      </c>
      <c r="K83" s="11" t="n">
        <v>291</v>
      </c>
      <c r="L83" s="8" t="inlineStr">
        <is>
          <t>total=6, records=6</t>
        </is>
      </c>
    </row>
    <row r="84">
      <c r="A84" s="11" t="inlineStr">
        <is>
          <t>TC-083</t>
        </is>
      </c>
      <c r="B84" s="10" t="inlineStr">
        <is>
          <t>系统设置</t>
        </is>
      </c>
      <c r="C84" s="8" t="inlineStr">
        <is>
          <t>用户管理 /system/user</t>
        </is>
      </c>
      <c r="D84" s="11" t="inlineStr">
        <is>
          <t>系统管理员</t>
        </is>
      </c>
      <c r="E84" s="11" t="inlineStr">
        <is>
          <t>POST</t>
        </is>
      </c>
      <c r="F84" s="17" t="inlineStr">
        <is>
          <t>/api/sys/users</t>
        </is>
      </c>
      <c r="G84" s="8" t="inlineStr">
        <is>
          <t>新增用户（密码策略 BR-09-01）</t>
        </is>
      </c>
      <c r="H84" s="11" t="inlineStr">
        <is>
          <t>返回成功数据</t>
        </is>
      </c>
      <c r="I84" s="11" t="inlineStr">
        <is>
          <t>是</t>
        </is>
      </c>
      <c r="J84" s="8" t="inlineStr">
        <is>
          <t>通过</t>
        </is>
      </c>
      <c r="K84" s="11" t="n">
        <v>211</v>
      </c>
      <c r="L84" s="8" t="inlineStr">
        <is>
          <t>success=true id=100065</t>
        </is>
      </c>
    </row>
    <row r="85">
      <c r="A85" s="11" t="inlineStr">
        <is>
          <t>TC-084</t>
        </is>
      </c>
      <c r="B85" s="10" t="inlineStr">
        <is>
          <t>系统设置</t>
        </is>
      </c>
      <c r="C85" s="8" t="inlineStr">
        <is>
          <t>用户管理 /system/user</t>
        </is>
      </c>
      <c r="D85" s="11" t="inlineStr">
        <is>
          <t>系统管理员</t>
        </is>
      </c>
      <c r="E85" s="11" t="inlineStr">
        <is>
          <t>POST</t>
        </is>
      </c>
      <c r="F85" s="17" t="inlineStr">
        <is>
          <t>/api/sys/users</t>
        </is>
      </c>
      <c r="G85" s="8" t="inlineStr">
        <is>
          <t>新增用户-密码过短应拒绝（BR-09-01）</t>
        </is>
      </c>
      <c r="H85" s="11" t="inlineStr">
        <is>
          <t>业务规则拦截</t>
        </is>
      </c>
      <c r="I85" s="11" t="inlineStr">
        <is>
          <t>是</t>
        </is>
      </c>
      <c r="J85" s="8" t="inlineStr">
        <is>
          <t>通过（业务规则已拦截）</t>
        </is>
      </c>
      <c r="K85" s="11" t="n">
        <v>275</v>
      </c>
      <c r="L85" s="8" t="inlineStr">
        <is>
          <t>密码长度不得少于 8 位（BR-09-01）</t>
        </is>
      </c>
    </row>
    <row r="86">
      <c r="A86" s="11" t="inlineStr">
        <is>
          <t>TC-085</t>
        </is>
      </c>
      <c r="B86" s="10" t="inlineStr">
        <is>
          <t>系统设置</t>
        </is>
      </c>
      <c r="C86" s="8" t="inlineStr">
        <is>
          <t>用户管理 /system/user</t>
        </is>
      </c>
      <c r="D86" s="11" t="inlineStr">
        <is>
          <t>系统管理员</t>
        </is>
      </c>
      <c r="E86" s="11" t="inlineStr">
        <is>
          <t>PUT</t>
        </is>
      </c>
      <c r="F86" s="17" t="inlineStr">
        <is>
          <t>/api/sys/users/:id</t>
        </is>
      </c>
      <c r="G86" s="8" t="inlineStr">
        <is>
          <t>修改用户（停用）</t>
        </is>
      </c>
      <c r="H86" s="11" t="inlineStr">
        <is>
          <t>返回成功数据</t>
        </is>
      </c>
      <c r="I86" s="11" t="inlineStr">
        <is>
          <t>是</t>
        </is>
      </c>
      <c r="J86" s="8" t="inlineStr">
        <is>
          <t>通过</t>
        </is>
      </c>
      <c r="K86" s="11" t="n">
        <v>298</v>
      </c>
      <c r="L86" s="8" t="inlineStr">
        <is>
          <t>success=true</t>
        </is>
      </c>
    </row>
    <row r="87">
      <c r="A87" s="11" t="inlineStr">
        <is>
          <t>TC-086</t>
        </is>
      </c>
      <c r="B87" s="10" t="inlineStr">
        <is>
          <t>系统设置</t>
        </is>
      </c>
      <c r="C87" s="8" t="inlineStr">
        <is>
          <t>用户管理 /system/user</t>
        </is>
      </c>
      <c r="D87" s="11" t="inlineStr">
        <is>
          <t>系统管理员</t>
        </is>
      </c>
      <c r="E87" s="11" t="inlineStr">
        <is>
          <t>PUT</t>
        </is>
      </c>
      <c r="F87" s="17" t="inlineStr">
        <is>
          <t>/api/sys/users/:id/password/reset</t>
        </is>
      </c>
      <c r="G87" s="8" t="inlineStr">
        <is>
          <t>重置密码</t>
        </is>
      </c>
      <c r="H87" s="11" t="inlineStr">
        <is>
          <t>返回成功数据</t>
        </is>
      </c>
      <c r="I87" s="11" t="inlineStr">
        <is>
          <t>是</t>
        </is>
      </c>
      <c r="J87" s="8" t="inlineStr">
        <is>
          <t>通过</t>
        </is>
      </c>
      <c r="K87" s="11" t="n">
        <v>288</v>
      </c>
      <c r="L87" s="8" t="inlineStr">
        <is>
          <t>success=true initPassword=Init@2026</t>
        </is>
      </c>
    </row>
    <row r="88">
      <c r="A88" s="11" t="inlineStr">
        <is>
          <t>TC-087</t>
        </is>
      </c>
      <c r="B88" s="10" t="inlineStr">
        <is>
          <t>系统设置</t>
        </is>
      </c>
      <c r="C88" s="8" t="inlineStr">
        <is>
          <t>用户管理 /system/user</t>
        </is>
      </c>
      <c r="D88" s="11" t="inlineStr">
        <is>
          <t>系统管理员</t>
        </is>
      </c>
      <c r="E88" s="11" t="inlineStr">
        <is>
          <t>DELETE</t>
        </is>
      </c>
      <c r="F88" s="17" t="inlineStr">
        <is>
          <t>/api/sys/users/:id</t>
        </is>
      </c>
      <c r="G88" s="8" t="inlineStr">
        <is>
          <t>删除用户</t>
        </is>
      </c>
      <c r="H88" s="11" t="inlineStr">
        <is>
          <t>返回成功数据</t>
        </is>
      </c>
      <c r="I88" s="11" t="inlineStr">
        <is>
          <t>是</t>
        </is>
      </c>
      <c r="J88" s="8" t="inlineStr">
        <is>
          <t>通过</t>
        </is>
      </c>
      <c r="K88" s="11" t="n">
        <v>218</v>
      </c>
      <c r="L88" s="8" t="inlineStr">
        <is>
          <t>success=true</t>
        </is>
      </c>
    </row>
    <row r="89">
      <c r="A89" s="11" t="inlineStr">
        <is>
          <t>TC-088</t>
        </is>
      </c>
      <c r="B89" s="10" t="inlineStr">
        <is>
          <t>系统设置</t>
        </is>
      </c>
      <c r="C89" s="8" t="inlineStr">
        <is>
          <t>用户管理 /system/user</t>
        </is>
      </c>
      <c r="D89" s="11" t="inlineStr">
        <is>
          <t>系统管理员</t>
        </is>
      </c>
      <c r="E89" s="11" t="inlineStr">
        <is>
          <t>PUT</t>
        </is>
      </c>
      <c r="F89" s="17" t="inlineStr">
        <is>
          <t>/api/sys/users/:id</t>
        </is>
      </c>
      <c r="G89" s="8" t="inlineStr">
        <is>
          <t>管理员自停用应拒绝（BR-09-02）</t>
        </is>
      </c>
      <c r="H89" s="11" t="inlineStr">
        <is>
          <t>业务规则拦截</t>
        </is>
      </c>
      <c r="I89" s="11" t="inlineStr">
        <is>
          <t>是</t>
        </is>
      </c>
      <c r="J89" s="8" t="inlineStr">
        <is>
          <t>通过（业务规则已拦截）</t>
        </is>
      </c>
      <c r="K89" s="11" t="n">
        <v>319</v>
      </c>
      <c r="L89" s="8" t="inlineStr">
        <is>
          <t>不可停用自身的管理员账号（BR-09-02）</t>
        </is>
      </c>
    </row>
    <row r="90">
      <c r="A90" s="11" t="inlineStr">
        <is>
          <t>TC-089</t>
        </is>
      </c>
      <c r="B90" s="10" t="inlineStr">
        <is>
          <t>系统设置</t>
        </is>
      </c>
      <c r="C90" s="8" t="inlineStr">
        <is>
          <t>角色权限 /system/role</t>
        </is>
      </c>
      <c r="D90" s="11" t="inlineStr">
        <is>
          <t>系统管理员</t>
        </is>
      </c>
      <c r="E90" s="11" t="inlineStr">
        <is>
          <t>GET</t>
        </is>
      </c>
      <c r="F90" s="17" t="inlineStr">
        <is>
          <t>/api/sys/roles</t>
        </is>
      </c>
      <c r="G90" s="8" t="inlineStr">
        <is>
          <t>角色列表（数据范围）</t>
        </is>
      </c>
      <c r="H90" s="11" t="inlineStr">
        <is>
          <t>返回成功数据</t>
        </is>
      </c>
      <c r="I90" s="11" t="inlineStr">
        <is>
          <t>是</t>
        </is>
      </c>
      <c r="J90" s="8" t="inlineStr">
        <is>
          <t>通过</t>
        </is>
      </c>
      <c r="K90" s="11" t="n">
        <v>231</v>
      </c>
      <c r="L90" s="8" t="inlineStr">
        <is>
          <t>total=6, records=6</t>
        </is>
      </c>
    </row>
    <row r="91">
      <c r="A91" s="11" t="inlineStr">
        <is>
          <t>TC-090</t>
        </is>
      </c>
      <c r="B91" s="10" t="inlineStr">
        <is>
          <t>系统设置</t>
        </is>
      </c>
      <c r="C91" s="8" t="inlineStr">
        <is>
          <t>角色权限 /system/role</t>
        </is>
      </c>
      <c r="D91" s="11" t="inlineStr">
        <is>
          <t>系统管理员</t>
        </is>
      </c>
      <c r="E91" s="11" t="inlineStr">
        <is>
          <t>POST</t>
        </is>
      </c>
      <c r="F91" s="17" t="inlineStr">
        <is>
          <t>/api/sys/roles</t>
        </is>
      </c>
      <c r="G91" s="8" t="inlineStr">
        <is>
          <t>新增角色</t>
        </is>
      </c>
      <c r="H91" s="11" t="inlineStr">
        <is>
          <t>返回成功数据</t>
        </is>
      </c>
      <c r="I91" s="11" t="inlineStr">
        <is>
          <t>是</t>
        </is>
      </c>
      <c r="J91" s="8" t="inlineStr">
        <is>
          <t>通过</t>
        </is>
      </c>
      <c r="K91" s="11" t="n">
        <v>189</v>
      </c>
      <c r="L91" s="8" t="inlineStr">
        <is>
          <t>success=true id=100066</t>
        </is>
      </c>
    </row>
    <row r="92">
      <c r="A92" s="11" t="inlineStr">
        <is>
          <t>TC-091</t>
        </is>
      </c>
      <c r="B92" s="10" t="inlineStr">
        <is>
          <t>系统设置</t>
        </is>
      </c>
      <c r="C92" s="8" t="inlineStr">
        <is>
          <t>角色权限 /system/role</t>
        </is>
      </c>
      <c r="D92" s="11" t="inlineStr">
        <is>
          <t>系统管理员</t>
        </is>
      </c>
      <c r="E92" s="11" t="inlineStr">
        <is>
          <t>PUT</t>
        </is>
      </c>
      <c r="F92" s="17" t="inlineStr">
        <is>
          <t>/api/sys/roles/:id</t>
        </is>
      </c>
      <c r="G92" s="8" t="inlineStr">
        <is>
          <t>修改角色数据范围</t>
        </is>
      </c>
      <c r="H92" s="11" t="inlineStr">
        <is>
          <t>返回成功数据</t>
        </is>
      </c>
      <c r="I92" s="11" t="inlineStr">
        <is>
          <t>是</t>
        </is>
      </c>
      <c r="J92" s="8" t="inlineStr">
        <is>
          <t>通过</t>
        </is>
      </c>
      <c r="K92" s="11" t="n">
        <v>292</v>
      </c>
      <c r="L92" s="8" t="inlineStr">
        <is>
          <t>success=true</t>
        </is>
      </c>
    </row>
    <row r="93">
      <c r="A93" s="11" t="inlineStr">
        <is>
          <t>TC-092</t>
        </is>
      </c>
      <c r="B93" s="10" t="inlineStr">
        <is>
          <t>系统设置</t>
        </is>
      </c>
      <c r="C93" s="8" t="inlineStr">
        <is>
          <t>数据字典 /system/dict</t>
        </is>
      </c>
      <c r="D93" s="11" t="inlineStr">
        <is>
          <t>系统管理员</t>
        </is>
      </c>
      <c r="E93" s="11" t="inlineStr">
        <is>
          <t>GET</t>
        </is>
      </c>
      <c r="F93" s="17" t="inlineStr">
        <is>
          <t>/api/sys/dict-types</t>
        </is>
      </c>
      <c r="G93" s="8" t="inlineStr">
        <is>
          <t>字典类型列表</t>
        </is>
      </c>
      <c r="H93" s="11" t="inlineStr">
        <is>
          <t>返回成功数据</t>
        </is>
      </c>
      <c r="I93" s="11" t="inlineStr">
        <is>
          <t>是</t>
        </is>
      </c>
      <c r="J93" s="8" t="inlineStr">
        <is>
          <t>通过</t>
        </is>
      </c>
      <c r="K93" s="11" t="n">
        <v>382</v>
      </c>
      <c r="L93" s="8" t="inlineStr">
        <is>
          <t>total=5, records=5</t>
        </is>
      </c>
    </row>
    <row r="94">
      <c r="A94" s="11" t="inlineStr">
        <is>
          <t>TC-093</t>
        </is>
      </c>
      <c r="B94" s="10" t="inlineStr">
        <is>
          <t>系统设置</t>
        </is>
      </c>
      <c r="C94" s="8" t="inlineStr">
        <is>
          <t>数据字典 /system/dict</t>
        </is>
      </c>
      <c r="D94" s="11" t="inlineStr">
        <is>
          <t>系统管理员</t>
        </is>
      </c>
      <c r="E94" s="11" t="inlineStr">
        <is>
          <t>GET</t>
        </is>
      </c>
      <c r="F94" s="17" t="inlineStr">
        <is>
          <t>/api/sys/dict-types/:id/items</t>
        </is>
      </c>
      <c r="G94" s="8" t="inlineStr">
        <is>
          <t>字典项列表</t>
        </is>
      </c>
      <c r="H94" s="11" t="inlineStr">
        <is>
          <t>返回成功数据</t>
        </is>
      </c>
      <c r="I94" s="11" t="inlineStr">
        <is>
          <t>是</t>
        </is>
      </c>
      <c r="J94" s="8" t="inlineStr">
        <is>
          <t>通过</t>
        </is>
      </c>
      <c r="K94" s="11" t="n">
        <v>194</v>
      </c>
      <c r="L94" s="8" t="inlineStr">
        <is>
          <t>total=3, records=3</t>
        </is>
      </c>
    </row>
    <row r="95">
      <c r="A95" s="11" t="inlineStr">
        <is>
          <t>TC-094</t>
        </is>
      </c>
      <c r="B95" s="10" t="inlineStr">
        <is>
          <t>系统设置</t>
        </is>
      </c>
      <c r="C95" s="8" t="inlineStr">
        <is>
          <t>参数配置 /system/config</t>
        </is>
      </c>
      <c r="D95" s="11" t="inlineStr">
        <is>
          <t>系统管理员</t>
        </is>
      </c>
      <c r="E95" s="11" t="inlineStr">
        <is>
          <t>GET</t>
        </is>
      </c>
      <c r="F95" s="17" t="inlineStr">
        <is>
          <t>/api/sys/configs</t>
        </is>
      </c>
      <c r="G95" s="8" t="inlineStr">
        <is>
          <t>参数配置列表</t>
        </is>
      </c>
      <c r="H95" s="11" t="inlineStr">
        <is>
          <t>返回成功数据</t>
        </is>
      </c>
      <c r="I95" s="11" t="inlineStr">
        <is>
          <t>是</t>
        </is>
      </c>
      <c r="J95" s="8" t="inlineStr">
        <is>
          <t>通过</t>
        </is>
      </c>
      <c r="K95" s="11" t="n">
        <v>394</v>
      </c>
      <c r="L95" s="8" t="inlineStr">
        <is>
          <t>total=6, records=6</t>
        </is>
      </c>
    </row>
    <row r="96">
      <c r="A96" s="11" t="inlineStr">
        <is>
          <t>TC-095</t>
        </is>
      </c>
      <c r="B96" s="10" t="inlineStr">
        <is>
          <t>系统设置</t>
        </is>
      </c>
      <c r="C96" s="8" t="inlineStr">
        <is>
          <t>参数配置 /system/config</t>
        </is>
      </c>
      <c r="D96" s="11" t="inlineStr">
        <is>
          <t>系统管理员</t>
        </is>
      </c>
      <c r="E96" s="11" t="inlineStr">
        <is>
          <t>PUT</t>
        </is>
      </c>
      <c r="F96" s="17" t="inlineStr">
        <is>
          <t>/api/sys/configs/:id</t>
        </is>
      </c>
      <c r="G96" s="8" t="inlineStr">
        <is>
          <t>修改参数（内置参数不可置空）</t>
        </is>
      </c>
      <c r="H96" s="11" t="inlineStr">
        <is>
          <t>返回成功数据</t>
        </is>
      </c>
      <c r="I96" s="11" t="inlineStr">
        <is>
          <t>是</t>
        </is>
      </c>
      <c r="J96" s="8" t="inlineStr">
        <is>
          <t>通过</t>
        </is>
      </c>
      <c r="K96" s="11" t="n">
        <v>653</v>
      </c>
      <c r="L96" s="8" t="inlineStr">
        <is>
          <t>success=true</t>
        </is>
      </c>
    </row>
    <row r="97">
      <c r="A97" s="11" t="inlineStr">
        <is>
          <t>TC-096</t>
        </is>
      </c>
      <c r="B97" s="10" t="inlineStr">
        <is>
          <t>系统设置</t>
        </is>
      </c>
      <c r="C97" s="8" t="inlineStr">
        <is>
          <t>参数配置 /system/config</t>
        </is>
      </c>
      <c r="D97" s="11" t="inlineStr">
        <is>
          <t>系统管理员</t>
        </is>
      </c>
      <c r="E97" s="11" t="inlineStr">
        <is>
          <t>PUT</t>
        </is>
      </c>
      <c r="F97" s="17" t="inlineStr">
        <is>
          <t>/api/sys/configs/:id</t>
        </is>
      </c>
      <c r="G97" s="8" t="inlineStr">
        <is>
          <t>内置参数置空应拒绝</t>
        </is>
      </c>
      <c r="H97" s="11" t="inlineStr">
        <is>
          <t>业务规则拦截</t>
        </is>
      </c>
      <c r="I97" s="11" t="inlineStr">
        <is>
          <t>是</t>
        </is>
      </c>
      <c r="J97" s="8" t="inlineStr">
        <is>
          <t>通过（业务规则已拦截）</t>
        </is>
      </c>
      <c r="K97" s="11" t="n">
        <v>652</v>
      </c>
      <c r="L97" s="8" t="inlineStr">
        <is>
          <t>系统内置参数不允许置空</t>
        </is>
      </c>
    </row>
    <row r="98">
      <c r="A98" s="11" t="inlineStr">
        <is>
          <t>TC-097</t>
        </is>
      </c>
      <c r="B98" s="10" t="inlineStr">
        <is>
          <t>系统设置</t>
        </is>
      </c>
      <c r="C98" s="8" t="inlineStr">
        <is>
          <t>日志审计 /system/log</t>
        </is>
      </c>
      <c r="D98" s="11" t="inlineStr">
        <is>
          <t>系统管理员</t>
        </is>
      </c>
      <c r="E98" s="11" t="inlineStr">
        <is>
          <t>GET</t>
        </is>
      </c>
      <c r="F98" s="17" t="inlineStr">
        <is>
          <t>/api/sys/logs/login</t>
        </is>
      </c>
      <c r="G98" s="8" t="inlineStr">
        <is>
          <t>登录日志分页</t>
        </is>
      </c>
      <c r="H98" s="11" t="inlineStr">
        <is>
          <t>返回成功数据</t>
        </is>
      </c>
      <c r="I98" s="11" t="inlineStr">
        <is>
          <t>是</t>
        </is>
      </c>
      <c r="J98" s="8" t="inlineStr">
        <is>
          <t>通过</t>
        </is>
      </c>
      <c r="K98" s="11" t="n">
        <v>340</v>
      </c>
      <c r="L98" s="8" t="inlineStr">
        <is>
          <t>total=18, records=10</t>
        </is>
      </c>
    </row>
    <row r="99">
      <c r="A99" s="11" t="inlineStr">
        <is>
          <t>TC-098</t>
        </is>
      </c>
      <c r="B99" s="10" t="inlineStr">
        <is>
          <t>系统设置</t>
        </is>
      </c>
      <c r="C99" s="8" t="inlineStr">
        <is>
          <t>日志审计 /system/log</t>
        </is>
      </c>
      <c r="D99" s="11" t="inlineStr">
        <is>
          <t>系统管理员</t>
        </is>
      </c>
      <c r="E99" s="11" t="inlineStr">
        <is>
          <t>GET</t>
        </is>
      </c>
      <c r="F99" s="17" t="inlineStr">
        <is>
          <t>/api/sys/logs/oper</t>
        </is>
      </c>
      <c r="G99" s="8" t="inlineStr">
        <is>
          <t>操作日志分页</t>
        </is>
      </c>
      <c r="H99" s="11" t="inlineStr">
        <is>
          <t>返回成功数据</t>
        </is>
      </c>
      <c r="I99" s="11" t="inlineStr">
        <is>
          <t>是</t>
        </is>
      </c>
      <c r="J99" s="8" t="inlineStr">
        <is>
          <t>通过</t>
        </is>
      </c>
      <c r="K99" s="11" t="n">
        <v>339</v>
      </c>
      <c r="L99" s="8" t="inlineStr">
        <is>
          <t>total=16, records=10</t>
        </is>
      </c>
    </row>
    <row r="100">
      <c r="A100" s="11" t="inlineStr">
        <is>
          <t>TC-099</t>
        </is>
      </c>
      <c r="B100" s="10" t="inlineStr">
        <is>
          <t>通知公告</t>
        </is>
      </c>
      <c r="C100" s="8" t="inlineStr">
        <is>
          <t>通知公告 /notices</t>
        </is>
      </c>
      <c r="D100" s="11" t="inlineStr">
        <is>
          <t>人事专员</t>
        </is>
      </c>
      <c r="E100" s="11" t="inlineStr">
        <is>
          <t>GET</t>
        </is>
      </c>
      <c r="F100" s="17" t="inlineStr">
        <is>
          <t>/api/notices/page</t>
        </is>
      </c>
      <c r="G100" s="8" t="inlineStr">
        <is>
          <t>公告分页（管理端）</t>
        </is>
      </c>
      <c r="H100" s="11" t="inlineStr">
        <is>
          <t>返回成功数据</t>
        </is>
      </c>
      <c r="I100" s="11" t="inlineStr">
        <is>
          <t>是</t>
        </is>
      </c>
      <c r="J100" s="8" t="inlineStr">
        <is>
          <t>通过</t>
        </is>
      </c>
      <c r="K100" s="11" t="n">
        <v>354</v>
      </c>
      <c r="L100" s="8" t="inlineStr">
        <is>
          <t>total=5, records=5</t>
        </is>
      </c>
    </row>
    <row r="101">
      <c r="A101" s="11" t="inlineStr">
        <is>
          <t>TC-100</t>
        </is>
      </c>
      <c r="B101" s="10" t="inlineStr">
        <is>
          <t>通知公告</t>
        </is>
      </c>
      <c r="C101" s="8" t="inlineStr">
        <is>
          <t>通知公告 /notices</t>
        </is>
      </c>
      <c r="D101" s="11" t="inlineStr">
        <is>
          <t>人事专员</t>
        </is>
      </c>
      <c r="E101" s="11" t="inlineStr">
        <is>
          <t>POST</t>
        </is>
      </c>
      <c r="F101" s="17" t="inlineStr">
        <is>
          <t>/api/notices</t>
        </is>
      </c>
      <c r="G101" s="8" t="inlineStr">
        <is>
          <t>新增公告（草稿）</t>
        </is>
      </c>
      <c r="H101" s="11" t="inlineStr">
        <is>
          <t>返回成功数据</t>
        </is>
      </c>
      <c r="I101" s="11" t="inlineStr">
        <is>
          <t>是</t>
        </is>
      </c>
      <c r="J101" s="8" t="inlineStr">
        <is>
          <t>通过</t>
        </is>
      </c>
      <c r="K101" s="11" t="n">
        <v>313</v>
      </c>
      <c r="L101" s="8" t="inlineStr">
        <is>
          <t>success=true id=100067</t>
        </is>
      </c>
    </row>
    <row r="102">
      <c r="A102" s="11" t="inlineStr">
        <is>
          <t>TC-101</t>
        </is>
      </c>
      <c r="B102" s="10" t="inlineStr">
        <is>
          <t>通知公告</t>
        </is>
      </c>
      <c r="C102" s="8" t="inlineStr">
        <is>
          <t>通知公告 /notices</t>
        </is>
      </c>
      <c r="D102" s="11" t="inlineStr">
        <is>
          <t>人事专员</t>
        </is>
      </c>
      <c r="E102" s="11" t="inlineStr">
        <is>
          <t>PUT</t>
        </is>
      </c>
      <c r="F102" s="17" t="inlineStr">
        <is>
          <t>/api/notices/:id/publish</t>
        </is>
      </c>
      <c r="G102" s="8" t="inlineStr">
        <is>
          <t>发布公告</t>
        </is>
      </c>
      <c r="H102" s="11" t="inlineStr">
        <is>
          <t>返回成功数据</t>
        </is>
      </c>
      <c r="I102" s="11" t="inlineStr">
        <is>
          <t>是</t>
        </is>
      </c>
      <c r="J102" s="8" t="inlineStr">
        <is>
          <t>通过</t>
        </is>
      </c>
      <c r="K102" s="11" t="n">
        <v>253</v>
      </c>
      <c r="L102" s="8" t="inlineStr">
        <is>
          <t>success=true</t>
        </is>
      </c>
    </row>
    <row r="103">
      <c r="A103" s="11" t="inlineStr">
        <is>
          <t>TC-102</t>
        </is>
      </c>
      <c r="B103" s="10" t="inlineStr">
        <is>
          <t>通知公告</t>
        </is>
      </c>
      <c r="C103" s="8" t="inlineStr">
        <is>
          <t>通知公告 /notices</t>
        </is>
      </c>
      <c r="D103" s="11" t="inlineStr">
        <is>
          <t>人事专员</t>
        </is>
      </c>
      <c r="E103" s="11" t="inlineStr">
        <is>
          <t>PUT</t>
        </is>
      </c>
      <c r="F103" s="17" t="inlineStr">
        <is>
          <t>/api/notices/:id/offline</t>
        </is>
      </c>
      <c r="G103" s="8" t="inlineStr">
        <is>
          <t>下线公告</t>
        </is>
      </c>
      <c r="H103" s="11" t="inlineStr">
        <is>
          <t>返回成功数据</t>
        </is>
      </c>
      <c r="I103" s="11" t="inlineStr">
        <is>
          <t>是</t>
        </is>
      </c>
      <c r="J103" s="8" t="inlineStr">
        <is>
          <t>通过</t>
        </is>
      </c>
      <c r="K103" s="11" t="n">
        <v>302</v>
      </c>
      <c r="L103" s="8" t="inlineStr">
        <is>
          <t>success=true</t>
        </is>
      </c>
    </row>
    <row r="104">
      <c r="A104" s="11" t="inlineStr">
        <is>
          <t>TC-103</t>
        </is>
      </c>
      <c r="B104" s="10" t="inlineStr">
        <is>
          <t>认证</t>
        </is>
      </c>
      <c r="C104" s="8" t="inlineStr">
        <is>
          <t>布局退出登录</t>
        </is>
      </c>
      <c r="D104" s="11" t="inlineStr">
        <is>
          <t>系统管理员</t>
        </is>
      </c>
      <c r="E104" s="11" t="inlineStr">
        <is>
          <t>POST</t>
        </is>
      </c>
      <c r="F104" s="17" t="inlineStr">
        <is>
          <t>/api/auth/logout</t>
        </is>
      </c>
      <c r="G104" s="8" t="inlineStr">
        <is>
          <t>退出登录</t>
        </is>
      </c>
      <c r="H104" s="11" t="inlineStr">
        <is>
          <t>返回成功数据</t>
        </is>
      </c>
      <c r="I104" s="11" t="inlineStr">
        <is>
          <t>是</t>
        </is>
      </c>
      <c r="J104" s="8" t="inlineStr">
        <is>
          <t>通过</t>
        </is>
      </c>
      <c r="K104" s="11" t="n">
        <v>226</v>
      </c>
      <c r="L104" s="8" t="inlineStr">
        <is>
          <t>success=true</t>
        </is>
      </c>
    </row>
    <row r="105">
      <c r="A105" s="11" t="inlineStr">
        <is>
          <t>TC-104</t>
        </is>
      </c>
      <c r="B105" s="10" t="inlineStr">
        <is>
          <t>权限与数据范围</t>
        </is>
      </c>
      <c r="C105" s="8" t="inlineStr">
        <is>
          <t>首页 /dashboard</t>
        </is>
      </c>
      <c r="D105" s="11" t="inlineStr">
        <is>
          <t>部门主管</t>
        </is>
      </c>
      <c r="E105" s="11" t="inlineStr">
        <is>
          <t>GET</t>
        </is>
      </c>
      <c r="F105" s="17" t="inlineStr">
        <is>
          <t>/api/dashboard/summary</t>
        </is>
      </c>
      <c r="G105" s="8" t="inlineStr">
        <is>
          <t>主管看板（仅本部门数据）</t>
        </is>
      </c>
      <c r="H105" s="11" t="inlineStr">
        <is>
          <t>返回成功数据</t>
        </is>
      </c>
      <c r="I105" s="11" t="inlineStr">
        <is>
          <t>是</t>
        </is>
      </c>
      <c r="J105" s="8" t="inlineStr">
        <is>
          <t>通过</t>
        </is>
      </c>
      <c r="K105" s="11" t="n">
        <v>260</v>
      </c>
      <c r="L105" s="8" t="inlineStr">
        <is>
          <t>8 字段：totalEmployees,monthHired,monthLeft,deptCount,headcountLimit,attendanceAbnormal</t>
        </is>
      </c>
    </row>
    <row r="106">
      <c r="A106" s="11" t="inlineStr">
        <is>
          <t>TC-105</t>
        </is>
      </c>
      <c r="B106" s="10" t="inlineStr">
        <is>
          <t>权限与数据范围</t>
        </is>
      </c>
      <c r="C106" s="8" t="inlineStr">
        <is>
          <t>员工档案 /employee</t>
        </is>
      </c>
      <c r="D106" s="11" t="inlineStr">
        <is>
          <t>部门主管</t>
        </is>
      </c>
      <c r="E106" s="11" t="inlineStr">
        <is>
          <t>GET</t>
        </is>
      </c>
      <c r="F106" s="17" t="inlineStr">
        <is>
          <t>/api/employees/page</t>
        </is>
      </c>
      <c r="G106" s="8" t="inlineStr">
        <is>
          <t>主管员工查询（仅本部门）</t>
        </is>
      </c>
      <c r="H106" s="11" t="inlineStr">
        <is>
          <t>返回成功数据</t>
        </is>
      </c>
      <c r="I106" s="11" t="inlineStr">
        <is>
          <t>是</t>
        </is>
      </c>
      <c r="J106" s="8" t="inlineStr">
        <is>
          <t>通过</t>
        </is>
      </c>
      <c r="K106" s="11" t="n">
        <v>319</v>
      </c>
      <c r="L106" s="8" t="inlineStr">
        <is>
          <t>total=9, records=9</t>
        </is>
      </c>
    </row>
    <row r="107">
      <c r="A107" s="11" t="inlineStr">
        <is>
          <t>TC-106</t>
        </is>
      </c>
      <c r="B107" s="10" t="inlineStr">
        <is>
          <t>权限与数据范围</t>
        </is>
      </c>
      <c r="C107" s="8" t="inlineStr">
        <is>
          <t>考勤统计 /attendance/monthly</t>
        </is>
      </c>
      <c r="D107" s="11" t="inlineStr">
        <is>
          <t>部门主管</t>
        </is>
      </c>
      <c r="E107" s="11" t="inlineStr">
        <is>
          <t>GET</t>
        </is>
      </c>
      <c r="F107" s="17" t="inlineStr">
        <is>
          <t>/api/attendance/records</t>
        </is>
      </c>
      <c r="G107" s="8" t="inlineStr">
        <is>
          <t>主管查看本部门打卡记录</t>
        </is>
      </c>
      <c r="H107" s="11" t="inlineStr">
        <is>
          <t>返回成功数据</t>
        </is>
      </c>
      <c r="I107" s="11" t="inlineStr">
        <is>
          <t>是</t>
        </is>
      </c>
      <c r="J107" s="8" t="inlineStr">
        <is>
          <t>通过</t>
        </is>
      </c>
      <c r="K107" s="11" t="n">
        <v>345</v>
      </c>
      <c r="L107" s="8" t="inlineStr">
        <is>
          <t>total=200, records=10</t>
        </is>
      </c>
    </row>
    <row r="108">
      <c r="A108" s="11" t="inlineStr">
        <is>
          <t>TC-107</t>
        </is>
      </c>
      <c r="B108" s="10" t="inlineStr">
        <is>
          <t>权限与数据范围</t>
        </is>
      </c>
      <c r="C108" s="8" t="inlineStr">
        <is>
          <t>绩效评分 /performance/record</t>
        </is>
      </c>
      <c r="D108" s="11" t="inlineStr">
        <is>
          <t>部门主管</t>
        </is>
      </c>
      <c r="E108" s="11" t="inlineStr">
        <is>
          <t>GET</t>
        </is>
      </c>
      <c r="F108" s="17" t="inlineStr">
        <is>
          <t>/api/performance-records/page</t>
        </is>
      </c>
      <c r="G108" s="8" t="inlineStr">
        <is>
          <t>主管查看本部门绩效记录</t>
        </is>
      </c>
      <c r="H108" s="11" t="inlineStr">
        <is>
          <t>返回成功数据</t>
        </is>
      </c>
      <c r="I108" s="11" t="inlineStr">
        <is>
          <t>是</t>
        </is>
      </c>
      <c r="J108" s="8" t="inlineStr">
        <is>
          <t>通过</t>
        </is>
      </c>
      <c r="K108" s="11" t="n">
        <v>204</v>
      </c>
      <c r="L108" s="8" t="inlineStr">
        <is>
          <t>total=14, records=10</t>
        </is>
      </c>
    </row>
    <row r="109">
      <c r="A109" s="11" t="inlineStr">
        <is>
          <t>TC-108</t>
        </is>
      </c>
      <c r="B109" s="10" t="inlineStr">
        <is>
          <t>权限与数据范围</t>
        </is>
      </c>
      <c r="C109" s="8" t="inlineStr">
        <is>
          <t>打卡签到 /attendance/checkin</t>
        </is>
      </c>
      <c r="D109" s="11" t="inlineStr">
        <is>
          <t>普通员工</t>
        </is>
      </c>
      <c r="E109" s="11" t="inlineStr">
        <is>
          <t>GET</t>
        </is>
      </c>
      <c r="F109" s="17" t="inlineStr">
        <is>
          <t>/api/attendance/today</t>
        </is>
      </c>
      <c r="G109" s="8" t="inlineStr">
        <is>
          <t>员工今日考勤状态</t>
        </is>
      </c>
      <c r="H109" s="11" t="inlineStr">
        <is>
          <t>返回成功数据</t>
        </is>
      </c>
      <c r="I109" s="11" t="inlineStr">
        <is>
          <t>是</t>
        </is>
      </c>
      <c r="J109" s="8" t="inlineStr">
        <is>
          <t>通过</t>
        </is>
      </c>
      <c r="K109" s="11" t="n">
        <v>399</v>
      </c>
      <c r="L109" s="8" t="inlineStr">
        <is>
          <t>2 字段：record,shift</t>
        </is>
      </c>
    </row>
    <row r="110">
      <c r="A110" s="11" t="inlineStr">
        <is>
          <t>TC-109</t>
        </is>
      </c>
      <c r="B110" s="10" t="inlineStr">
        <is>
          <t>权限与数据范围</t>
        </is>
      </c>
      <c r="C110" s="8" t="inlineStr">
        <is>
          <t>请假申请 /attendance/leave</t>
        </is>
      </c>
      <c r="D110" s="11" t="inlineStr">
        <is>
          <t>普通员工</t>
        </is>
      </c>
      <c r="E110" s="11" t="inlineStr">
        <is>
          <t>GET</t>
        </is>
      </c>
      <c r="F110" s="17" t="inlineStr">
        <is>
          <t>/api/leave-requests/page</t>
        </is>
      </c>
      <c r="G110" s="8" t="inlineStr">
        <is>
          <t>员工仅见本人请假单</t>
        </is>
      </c>
      <c r="H110" s="11" t="inlineStr">
        <is>
          <t>返回成功数据</t>
        </is>
      </c>
      <c r="I110" s="11" t="inlineStr">
        <is>
          <t>是</t>
        </is>
      </c>
      <c r="J110" s="8" t="inlineStr">
        <is>
          <t>通过</t>
        </is>
      </c>
      <c r="K110" s="11" t="n">
        <v>206</v>
      </c>
      <c r="L110" s="8" t="inlineStr">
        <is>
          <t>total=2, records=2</t>
        </is>
      </c>
    </row>
    <row r="111">
      <c r="A111" s="11" t="inlineStr">
        <is>
          <t>TC-110</t>
        </is>
      </c>
      <c r="B111" s="10" t="inlineStr">
        <is>
          <t>权限与数据范围</t>
        </is>
      </c>
      <c r="C111" s="8" t="inlineStr">
        <is>
          <t>我的薪资条 /salary/payslip</t>
        </is>
      </c>
      <c r="D111" s="11" t="inlineStr">
        <is>
          <t>普通员工</t>
        </is>
      </c>
      <c r="E111" s="11" t="inlineStr">
        <is>
          <t>GET</t>
        </is>
      </c>
      <c r="F111" s="17" t="inlineStr">
        <is>
          <t>/api/salary/payslips/my</t>
        </is>
      </c>
      <c r="G111" s="8" t="inlineStr">
        <is>
          <t>员工查看本人薪资条</t>
        </is>
      </c>
      <c r="H111" s="11" t="inlineStr">
        <is>
          <t>返回成功数据</t>
        </is>
      </c>
      <c r="I111" s="11" t="inlineStr">
        <is>
          <t>是</t>
        </is>
      </c>
      <c r="J111" s="8" t="inlineStr">
        <is>
          <t>通过</t>
        </is>
      </c>
      <c r="K111" s="11" t="n">
        <v>314</v>
      </c>
      <c r="L111" s="8" t="inlineStr">
        <is>
          <t>total=2, records=2</t>
        </is>
      </c>
    </row>
    <row r="112">
      <c r="A112" s="11" t="inlineStr">
        <is>
          <t>TC-111</t>
        </is>
      </c>
      <c r="B112" s="10" t="inlineStr">
        <is>
          <t>权限与数据范围</t>
        </is>
      </c>
      <c r="C112" s="8" t="inlineStr">
        <is>
          <t>我的薪资条 /salary/payslip</t>
        </is>
      </c>
      <c r="D112" s="11" t="inlineStr">
        <is>
          <t>普通员工</t>
        </is>
      </c>
      <c r="E112" s="11" t="inlineStr">
        <is>
          <t>GET</t>
        </is>
      </c>
      <c r="F112" s="17" t="inlineStr">
        <is>
          <t>/api/salary/payslips/:recordId/items</t>
        </is>
      </c>
      <c r="G112" s="8" t="inlineStr">
        <is>
          <t>员工查看本人薪资明细</t>
        </is>
      </c>
      <c r="H112" s="11" t="inlineStr">
        <is>
          <t>返回成功数据</t>
        </is>
      </c>
      <c r="I112" s="11" t="inlineStr">
        <is>
          <t>是</t>
        </is>
      </c>
      <c r="J112" s="8" t="inlineStr">
        <is>
          <t>通过</t>
        </is>
      </c>
      <c r="K112" s="11" t="n">
        <v>248</v>
      </c>
      <c r="L112" s="8" t="inlineStr">
        <is>
          <t>2 字段：record,items</t>
        </is>
      </c>
    </row>
    <row r="113">
      <c r="A113" s="11" t="inlineStr">
        <is>
          <t>TC-112</t>
        </is>
      </c>
      <c r="B113" s="10" t="inlineStr">
        <is>
          <t>权限与数据范围</t>
        </is>
      </c>
      <c r="C113" s="8" t="inlineStr">
        <is>
          <t>我的培训 /training/my</t>
        </is>
      </c>
      <c r="D113" s="11" t="inlineStr">
        <is>
          <t>普通员工</t>
        </is>
      </c>
      <c r="E113" s="11" t="inlineStr">
        <is>
          <t>GET</t>
        </is>
      </c>
      <c r="F113" s="17" t="inlineStr">
        <is>
          <t>/api/training/my</t>
        </is>
      </c>
      <c r="G113" s="8" t="inlineStr">
        <is>
          <t>员工查看本人培训档案</t>
        </is>
      </c>
      <c r="H113" s="11" t="inlineStr">
        <is>
          <t>返回成功数据</t>
        </is>
      </c>
      <c r="I113" s="11" t="inlineStr">
        <is>
          <t>是</t>
        </is>
      </c>
      <c r="J113" s="8" t="inlineStr">
        <is>
          <t>通过</t>
        </is>
      </c>
      <c r="K113" s="11" t="n">
        <v>277</v>
      </c>
      <c r="L113" s="8" t="inlineStr">
        <is>
          <t>total=1, records=1</t>
        </is>
      </c>
    </row>
    <row r="114">
      <c r="A114" s="11" t="inlineStr">
        <is>
          <t>TC-113</t>
        </is>
      </c>
      <c r="B114" s="10" t="inlineStr">
        <is>
          <t>权限与数据范围</t>
        </is>
      </c>
      <c r="C114" s="8" t="inlineStr">
        <is>
          <t>绩效评分 /performance/record</t>
        </is>
      </c>
      <c r="D114" s="11" t="inlineStr">
        <is>
          <t>普通员工</t>
        </is>
      </c>
      <c r="E114" s="11" t="inlineStr">
        <is>
          <t>GET</t>
        </is>
      </c>
      <c r="F114" s="17" t="inlineStr">
        <is>
          <t>/api/performance-records/page</t>
        </is>
      </c>
      <c r="G114" s="8" t="inlineStr">
        <is>
          <t>员工仅见本人绩效记录</t>
        </is>
      </c>
      <c r="H114" s="11" t="inlineStr">
        <is>
          <t>返回成功数据</t>
        </is>
      </c>
      <c r="I114" s="11" t="inlineStr">
        <is>
          <t>是</t>
        </is>
      </c>
      <c r="J114" s="8" t="inlineStr">
        <is>
          <t>通过</t>
        </is>
      </c>
      <c r="K114" s="11" t="n">
        <v>361</v>
      </c>
      <c r="L114" s="8" t="inlineStr">
        <is>
          <t>total=3, records=3</t>
        </is>
      </c>
    </row>
  </sheetData>
  <autoFilter ref="A1:L114"/>
  <conditionalFormatting sqref="I2:I114">
    <cfRule type="cellIs" priority="1" operator="equal" dxfId="0">
      <formula>"是"</formula>
    </cfRule>
    <cfRule type="cellIs" priority="2" operator="equal" dxfId="1">
      <formula>"否"</formula>
    </cfRule>
  </conditionalFormatting>
  <conditionalFormatting sqref="K2:K114">
    <cfRule type="cellIs" priority="3" operator="greaterThan" dxfId="2">
      <formula>500</formula>
    </cfRule>
  </conditionalFormatting>
  <dataValidations count="1">
    <dataValidation sqref="I2:I114" showDropDown="0" showInputMessage="0" showErrorMessage="0" allowBlank="1" promptTitle="执行结论" prompt="用例回归时填写是否通过" type="list">
      <formula1>"是,否,阻塞"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1:G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8" customWidth="1" min="3" max="3"/>
    <col width="11" customWidth="1" min="4" max="4"/>
    <col width="52" customWidth="1" min="5" max="5"/>
    <col width="30" customWidth="1" min="6" max="6"/>
    <col width="60" customWidth="1" min="7" max="7"/>
  </cols>
  <sheetData>
    <row r="1" ht="26" customHeight="1">
      <c r="A1" s="9" t="inlineStr">
        <is>
          <t>表名</t>
        </is>
      </c>
      <c r="B1" s="9" t="inlineStr">
        <is>
          <t>表注释</t>
        </is>
      </c>
      <c r="C1" s="9" t="inlineStr">
        <is>
          <t>字段数</t>
        </is>
      </c>
      <c r="D1" s="9" t="inlineStr">
        <is>
          <t>覆盖状态</t>
        </is>
      </c>
      <c r="E1" s="9" t="inlineStr">
        <is>
          <t>供给请求地址</t>
        </is>
      </c>
      <c r="F1" s="9" t="inlineStr">
        <is>
          <t>使用页面</t>
        </is>
      </c>
      <c r="G1" s="9" t="inlineStr">
        <is>
          <t>说明与处理建议</t>
        </is>
      </c>
    </row>
    <row r="2">
      <c r="A2" s="19" t="inlineStr">
        <is>
          <t>sys_dict_type</t>
        </is>
      </c>
      <c r="B2" s="10" t="inlineStr">
        <is>
          <t>字典类型表</t>
        </is>
      </c>
      <c r="C2" s="11" t="n">
        <v>0</v>
      </c>
      <c r="D2" s="11" t="inlineStr">
        <is>
          <t>已覆盖</t>
        </is>
      </c>
      <c r="E2" s="8" t="inlineStr">
        <is>
          <t>GET /api/sys/dict-types；GET /api/sys/dict-types/${typeId}/items</t>
        </is>
      </c>
      <c r="F2" s="8" t="inlineStr">
        <is>
          <t>数据字典 /system/dict</t>
        </is>
      </c>
      <c r="G2" s="8" t="inlineStr">
        <is>
          <t>由上述接口直接供给</t>
        </is>
      </c>
    </row>
    <row r="3">
      <c r="A3" s="19" t="inlineStr">
        <is>
          <t>sys_dict_item</t>
        </is>
      </c>
      <c r="B3" s="10" t="inlineStr">
        <is>
          <t>字典项表</t>
        </is>
      </c>
      <c r="C3" s="11" t="n">
        <v>0</v>
      </c>
      <c r="D3" s="11" t="inlineStr">
        <is>
          <t>已覆盖</t>
        </is>
      </c>
      <c r="E3" s="8" t="inlineStr">
        <is>
          <t>GET /api/sys/dict-types/${typeId}/items</t>
        </is>
      </c>
      <c r="F3" s="8" t="inlineStr">
        <is>
          <t>数据字典 /system/dict</t>
        </is>
      </c>
      <c r="G3" s="8" t="inlineStr">
        <is>
          <t>由上述接口直接供给</t>
        </is>
      </c>
    </row>
    <row r="4">
      <c r="A4" s="19" t="inlineStr">
        <is>
          <t>sys_menu</t>
        </is>
      </c>
      <c r="B4" s="10" t="inlineStr">
        <is>
          <t>菜单权限表</t>
        </is>
      </c>
      <c r="C4" s="11" t="n">
        <v>0</v>
      </c>
      <c r="D4" s="11" t="inlineStr">
        <is>
          <t>未覆盖</t>
        </is>
      </c>
      <c r="E4" s="8" t="inlineStr">
        <is>
          <t>—</t>
        </is>
      </c>
      <c r="F4" s="8" t="inlineStr">
        <is>
          <t>—</t>
        </is>
      </c>
      <c r="G4" s="8" t="inlineStr">
        <is>
          <t>菜单权限由前端路由 meta.roles 矩阵静态定义（与需求 2.5 一致）；后端菜单管理接口（F-09-03）本期未对接</t>
        </is>
      </c>
    </row>
    <row r="5">
      <c r="A5" s="19" t="inlineStr">
        <is>
          <t>sys_role</t>
        </is>
      </c>
      <c r="B5" s="10" t="inlineStr">
        <is>
          <t>角色表</t>
        </is>
      </c>
      <c r="C5" s="11" t="n">
        <v>0</v>
      </c>
      <c r="D5" s="11" t="inlineStr">
        <is>
          <t>已覆盖</t>
        </is>
      </c>
      <c r="E5" s="8" t="inlineStr">
        <is>
          <t>POST /api/auth/login；GET /api/auth/me；GET /api/sys/users/page；GET /api/sys/roles；POST /api/sys/roles；PUT /api/sys/roles/${id}</t>
        </is>
      </c>
      <c r="F5" s="8" t="inlineStr">
        <is>
          <t>登录页 /login；守卫 permission.js；用户管理 /system/user；角色权限 /system/role</t>
        </is>
      </c>
      <c r="G5" s="8" t="inlineStr">
        <is>
          <t>由上述接口直接供给</t>
        </is>
      </c>
    </row>
    <row r="6">
      <c r="A6" s="19" t="inlineStr">
        <is>
          <t>sys_config</t>
        </is>
      </c>
      <c r="B6" s="10" t="inlineStr">
        <is>
          <t>系统参数表</t>
        </is>
      </c>
      <c r="C6" s="11" t="n">
        <v>0</v>
      </c>
      <c r="D6" s="11" t="inlineStr">
        <is>
          <t>已覆盖</t>
        </is>
      </c>
      <c r="E6" s="8" t="inlineStr">
        <is>
          <t>GET /api/sys/configs；PUT /api/sys/configs/${id}</t>
        </is>
      </c>
      <c r="F6" s="8" t="inlineStr">
        <is>
          <t>参数配置 /system/config</t>
        </is>
      </c>
      <c r="G6" s="8" t="inlineStr">
        <is>
          <t>由上述接口直接供给</t>
        </is>
      </c>
    </row>
    <row r="7">
      <c r="A7" s="19" t="inlineStr">
        <is>
          <t>sys_login_log</t>
        </is>
      </c>
      <c r="B7" s="10" t="inlineStr">
        <is>
          <t>登录日志表</t>
        </is>
      </c>
      <c r="C7" s="11" t="n">
        <v>0</v>
      </c>
      <c r="D7" s="11" t="inlineStr">
        <is>
          <t>已覆盖</t>
        </is>
      </c>
      <c r="E7" s="8" t="inlineStr">
        <is>
          <t>POST /api/auth/login；POST /api/auth/logout；GET /api/sys/logs/login</t>
        </is>
      </c>
      <c r="F7" s="8" t="inlineStr">
        <is>
          <t>登录页 /login；布局退出登录；日志审计 /system/log</t>
        </is>
      </c>
      <c r="G7" s="8" t="inlineStr">
        <is>
          <t>由上述接口直接供给</t>
        </is>
      </c>
    </row>
    <row r="8">
      <c r="A8" s="19" t="inlineStr">
        <is>
          <t>sys_oper_log</t>
        </is>
      </c>
      <c r="B8" s="10" t="inlineStr">
        <is>
          <t>操作日志表</t>
        </is>
      </c>
      <c r="C8" s="11" t="n">
        <v>0</v>
      </c>
      <c r="D8" s="11" t="inlineStr">
        <is>
          <t>已覆盖</t>
        </is>
      </c>
      <c r="E8" s="8" t="inlineStr">
        <is>
          <t>GET /api/sys/logs/oper</t>
        </is>
      </c>
      <c r="F8" s="8" t="inlineStr">
        <is>
          <t>日志审计 /system/log</t>
        </is>
      </c>
      <c r="G8" s="8" t="inlineStr">
        <is>
          <t>由上述接口直接供给</t>
        </is>
      </c>
    </row>
    <row r="9">
      <c r="A9" s="19" t="inlineStr">
        <is>
          <t>shift</t>
        </is>
      </c>
      <c r="B9" s="10" t="inlineStr">
        <is>
          <t>班次定义表</t>
        </is>
      </c>
      <c r="C9" s="11" t="n">
        <v>0</v>
      </c>
      <c r="D9" s="11" t="inlineStr">
        <is>
          <t>已覆盖</t>
        </is>
      </c>
      <c r="E9" s="8" t="inlineStr">
        <is>
          <t>GET /api/attendance/today；POST /api/attendance/checkin；POST /api/attendance/checkout；GET /api/attendance/records</t>
        </is>
      </c>
      <c r="F9" s="8" t="inlineStr">
        <is>
          <t>打卡签到 /attendance/checkin；考勤统计 /attendance/monthly</t>
        </is>
      </c>
      <c r="G9" s="8" t="inlineStr">
        <is>
          <t>班次随 /api/attendance/today 返回；如需班次维护建议补 GET/POST /api/shifts</t>
        </is>
      </c>
    </row>
    <row r="10">
      <c r="A10" s="19" t="inlineStr">
        <is>
          <t>leave_type</t>
        </is>
      </c>
      <c r="B10" s="10" t="inlineStr">
        <is>
          <t>假别表</t>
        </is>
      </c>
      <c r="C10" s="11" t="n">
        <v>0</v>
      </c>
      <c r="D10" s="11" t="inlineStr">
        <is>
          <t>已覆盖</t>
        </is>
      </c>
      <c r="E10" s="8" t="inlineStr">
        <is>
          <t>GET /api/leave-requests/page；POST /api/leave-requests；GET /api/leave-balances/my</t>
        </is>
      </c>
      <c r="F10" s="8" t="inlineStr">
        <is>
          <t>请假申请 /attendance/leave</t>
        </is>
      </c>
      <c r="G10" s="8" t="inlineStr">
        <is>
          <t>假别随请假接口返回；如需维护建议补 GET /api/leave-types</t>
        </is>
      </c>
    </row>
    <row r="11">
      <c r="A11" s="19" t="inlineStr">
        <is>
          <t>salary_standard</t>
        </is>
      </c>
      <c r="B11" s="10" t="inlineStr">
        <is>
          <t>薪资标准模板表</t>
        </is>
      </c>
      <c r="C11" s="11" t="n">
        <v>0</v>
      </c>
      <c r="D11" s="11" t="inlineStr">
        <is>
          <t>已覆盖</t>
        </is>
      </c>
      <c r="E11" s="8" t="inlineStr">
        <is>
          <t>GET /api/salary-standards/page；POST /api/salary-standards</t>
        </is>
      </c>
      <c r="F11" s="8" t="inlineStr">
        <is>
          <t>薪资标准 /salary/standard</t>
        </is>
      </c>
      <c r="G11" s="8" t="inlineStr">
        <is>
          <t>由上述接口直接供给</t>
        </is>
      </c>
    </row>
    <row r="12">
      <c r="A12" s="19" t="inlineStr">
        <is>
          <t>dept</t>
        </is>
      </c>
      <c r="B12" s="10" t="inlineStr">
        <is>
          <t>部门表</t>
        </is>
      </c>
      <c r="C12" s="11" t="n">
        <v>0</v>
      </c>
      <c r="D12" s="11" t="inlineStr">
        <is>
          <t>已覆盖</t>
        </is>
      </c>
      <c r="E12" s="8" t="inlineStr">
        <is>
          <t>GET /api/leave-requests/page；GET /api/overtime-requests/page；GET /api/business-trips/page；GET /api/dashboard/summary；GET /api/dashboard/charts；GET /api/depts/tree；GET /api/depts；POST /api/depts；PUT /api/depts/${id}；DELETE /api/depts/${id}；GET /api/positions；GET /api/employees/page；GET /api/employees/${id}；GET /api/employees/${id}/changes；GET /api/employee-changes/page；GET /api/recruit-requests/page；GET /api/salary-records/page</t>
        </is>
      </c>
      <c r="F12" s="8" t="inlineStr">
        <is>
          <t>请假申请 /attendance/leave；加班申请 /attendance/overtime；出差管理 /attendance/trip；首页 /dashboard；组织架构 /dept；岗位管理 /dept/positions；员工档案 /employee；我的档案 /employee/profile；异动记录 /employee/changes；招聘需求 /recruit/request；薪资核算 /salary/record</t>
        </is>
      </c>
      <c r="G12" s="8" t="inlineStr">
        <is>
          <t>由上述接口直接供给</t>
        </is>
      </c>
    </row>
    <row r="13">
      <c r="A13" s="19" t="inlineStr">
        <is>
          <t>position</t>
        </is>
      </c>
      <c r="B13" s="10" t="inlineStr">
        <is>
          <t>岗位表</t>
        </is>
      </c>
      <c r="C13" s="11" t="n">
        <v>0</v>
      </c>
      <c r="D13" s="11" t="inlineStr">
        <is>
          <t>已覆盖</t>
        </is>
      </c>
      <c r="E13" s="8" t="inlineStr">
        <is>
          <t>GET /api/positions；POST /api/positions；PUT /api/positions/${id}；GET /api/employees/page；GET /api/employees/${id}；PUT /api/employees/${id}；GET /api/employees/${id}/changes；POST /api/employee-changes；GET /api/recruit-requests/page</t>
        </is>
      </c>
      <c r="F13" s="8" t="inlineStr">
        <is>
          <t>岗位管理 /dept/positions；员工档案 /employee；我的档案 /employee/profile；异动记录 /employee/changes；招聘需求 /recruit/request</t>
        </is>
      </c>
      <c r="G13" s="8" t="inlineStr">
        <is>
          <t>由上述接口直接供给</t>
        </is>
      </c>
    </row>
    <row r="14">
      <c r="A14" s="19" t="inlineStr">
        <is>
          <t>employee</t>
        </is>
      </c>
      <c r="B14" s="10" t="inlineStr">
        <is>
          <t>员工表</t>
        </is>
      </c>
      <c r="C14" s="11" t="n">
        <v>0</v>
      </c>
      <c r="D14" s="11" t="inlineStr">
        <is>
          <t>已覆盖</t>
        </is>
      </c>
      <c r="E14" s="8" t="inlineStr">
        <is>
          <t>GET /api/leave-requests/page；GET /api/overtime-requests/page；GET /api/business-trips/page；GET /api/attendance-months/page；GET /api/auth/me；GET /api/dashboard/summary；GET /api/dashboard/charts；GET /api/depts/tree；DELETE /api/depts/${id}；GET /api/employees/page；GET /api/employees/${id}；POST /api/employees；PUT /api/employees/${id}；DELETE /api/employees/${id}；PUT /api/employees/${id}/status；POST /api/employee-changes；GET /api/employee-changes/page；GET /api/employee-contracts/page；POST /api/performance-plans；PUT /api/performance-plans/${id}/publish；GET /api/performance-records/page；GET /api/recruit-requests/page；POST /api/recruit-requests；GET /api/interview-records；GET /api/salary-records/page；POST /api/salary-records/calculate；GET /api/salary/payslips/my；GET /api/sys/users/page；POST /api/sys/users；GET /api/notices/page；POST /api/notices；POST /api/training-plans</t>
        </is>
      </c>
      <c r="F14" s="8" t="inlineStr">
        <is>
          <t>请假申请 /attendance/leave；加班申请 /attendance/overtime；出差管理 /attendance/trip；考勤统计 /attendance/monthly；守卫 permission.js；首页 /dashboard；组织架构 /dept；员工档案 /employee；我的档案 /employee/profile；异动记录 /employee/changes；合同管理 /employee/contracts；考核方案 /performance/plan；绩效评分 /performance/record；招聘需求 /recruit/request；简历筛选 /recruit/candidate；薪资核算 /salary/record；我的薪资条 /salary/payslip；用户管理 /system/user；通知公告 /notices；培训计划 /training/plan</t>
        </is>
      </c>
      <c r="G14" s="8" t="inlineStr">
        <is>
          <t>由上述接口直接供给</t>
        </is>
      </c>
    </row>
    <row r="15">
      <c r="A15" s="19" t="inlineStr">
        <is>
          <t>employee_contract</t>
        </is>
      </c>
      <c r="B15" s="10" t="inlineStr">
        <is>
          <t>劳动合同表</t>
        </is>
      </c>
      <c r="C15" s="11" t="n">
        <v>0</v>
      </c>
      <c r="D15" s="11" t="inlineStr">
        <is>
          <t>已覆盖</t>
        </is>
      </c>
      <c r="E15" s="8" t="inlineStr">
        <is>
          <t>GET /api/dashboard/summary；GET /api/employee-contracts/page；POST /api/employee-contracts</t>
        </is>
      </c>
      <c r="F15" s="8" t="inlineStr">
        <is>
          <t>首页 /dashboard；合同管理 /employee/contracts</t>
        </is>
      </c>
      <c r="G15" s="8" t="inlineStr">
        <is>
          <t>由上述接口直接供给</t>
        </is>
      </c>
    </row>
    <row r="16">
      <c r="A16" s="19" t="inlineStr">
        <is>
          <t>employee_change</t>
        </is>
      </c>
      <c r="B16" s="10" t="inlineStr">
        <is>
          <t>员工异动记录表</t>
        </is>
      </c>
      <c r="C16" s="11" t="n">
        <v>0</v>
      </c>
      <c r="D16" s="11" t="inlineStr">
        <is>
          <t>已覆盖</t>
        </is>
      </c>
      <c r="E16" s="8" t="inlineStr">
        <is>
          <t>POST /api/employees；PUT /api/employees/${id}/status；GET /api/employees/${id}/changes；POST /api/employee-changes；GET /api/employee-changes/page</t>
        </is>
      </c>
      <c r="F16" s="8" t="inlineStr">
        <is>
          <t>员工档案 /employee；异动记录 /employee/changes</t>
        </is>
      </c>
      <c r="G16" s="8" t="inlineStr">
        <is>
          <t>由上述接口直接供给</t>
        </is>
      </c>
    </row>
    <row r="17">
      <c r="A17" s="19" t="inlineStr">
        <is>
          <t>employee_attachment</t>
        </is>
      </c>
      <c r="B17" s="10" t="inlineStr">
        <is>
          <t>员工附件表</t>
        </is>
      </c>
      <c r="C17" s="11" t="n">
        <v>0</v>
      </c>
      <c r="D17" s="11" t="inlineStr">
        <is>
          <t>未覆盖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员工附件（证件/学历扫描件）建议补 POST /api/employees/{id}/attachments 与列表接口，页面支持上传</t>
        </is>
      </c>
    </row>
    <row r="18">
      <c r="A18" s="19" t="inlineStr">
        <is>
          <t>sys_user</t>
        </is>
      </c>
      <c r="B18" s="10" t="inlineStr">
        <is>
          <t>系统用户表</t>
        </is>
      </c>
      <c r="C18" s="11" t="n">
        <v>0</v>
      </c>
      <c r="D18" s="11" t="inlineStr">
        <is>
          <t>已覆盖</t>
        </is>
      </c>
      <c r="E18" s="8" t="inlineStr">
        <is>
          <t>POST /api/auth/login；GET /api/auth/me；POST /api/employees；GET /api/sys/users/page；POST /api/sys/users；PUT /api/sys/users/${id}；PUT /api/sys/users/${id}/password/reset；DELETE /api/sys/users/${id}；GET /api/sys/logs/login；GET /api/sys/logs/oper</t>
        </is>
      </c>
      <c r="F18" s="8" t="inlineStr">
        <is>
          <t>登录页 /login；守卫 permission.js；员工档案 /employee；用户管理 /system/user；日志审计 /system/log</t>
        </is>
      </c>
      <c r="G18" s="8" t="inlineStr">
        <is>
          <t>由上述接口直接供给</t>
        </is>
      </c>
    </row>
    <row r="19">
      <c r="A19" s="19" t="inlineStr">
        <is>
          <t>sys_user_role</t>
        </is>
      </c>
      <c r="B19" s="10" t="inlineStr">
        <is>
          <t>用户角色关联表</t>
        </is>
      </c>
      <c r="C19" s="11" t="n">
        <v>0</v>
      </c>
      <c r="D19" s="11" t="inlineStr">
        <is>
          <t>已覆盖</t>
        </is>
      </c>
      <c r="E19" s="8" t="inlineStr">
        <is>
          <t>POST /api/auth/login；GET /api/auth/me；GET /api/sys/users/page；POST /api/sys/users；PUT /api/sys/users/${id}；DELETE /api/sys/users/${id}</t>
        </is>
      </c>
      <c r="F19" s="8" t="inlineStr">
        <is>
          <t>登录页 /login；守卫 permission.js；用户管理 /system/user</t>
        </is>
      </c>
      <c r="G19" s="8" t="inlineStr">
        <is>
          <t>用户角色随 /api/sys/users 与 /api/auth/me 的 roles 字段返回，无需独立接口</t>
        </is>
      </c>
    </row>
    <row r="20">
      <c r="A20" s="19" t="inlineStr">
        <is>
          <t>sys_role_menu</t>
        </is>
      </c>
      <c r="B20" s="10" t="inlineStr">
        <is>
          <t>角色菜单关联表</t>
        </is>
      </c>
      <c r="C20" s="11" t="n">
        <v>0</v>
      </c>
      <c r="D20" s="11" t="inlineStr">
        <is>
          <t>未覆盖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角色-菜单授权建议补 GET/PUT /api/sys/roles/{id}/menus；当前角色页仅维护数据范围</t>
        </is>
      </c>
    </row>
    <row r="21">
      <c r="A21" s="19" t="inlineStr">
        <is>
          <t>insurance_config</t>
        </is>
      </c>
      <c r="B21" s="10" t="inlineStr">
        <is>
          <t>社保公积金配置表</t>
        </is>
      </c>
      <c r="C21" s="11" t="n">
        <v>0</v>
      </c>
      <c r="D21" s="11" t="inlineStr">
        <is>
          <t>未覆盖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社保公积金配置当前在核算逻辑中按固定比例计算，未读取配置表；建议补 GET/PUT /api/insurance-configs 与社保管理页面（F-05-04）</t>
        </is>
      </c>
    </row>
    <row r="22">
      <c r="A22" s="19" t="inlineStr">
        <is>
          <t>employee_salary</t>
        </is>
      </c>
      <c r="B22" s="10" t="inlineStr">
        <is>
          <t>员工薪资标准表</t>
        </is>
      </c>
      <c r="C22" s="11" t="n">
        <v>0</v>
      </c>
      <c r="D22" s="11" t="inlineStr">
        <is>
          <t>未覆盖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员工个人薪资标准建议补 GET/PUT /api/employees/{id}/salary（当前由核算接口按 employee.salary 计算）</t>
        </is>
      </c>
    </row>
    <row r="23">
      <c r="A23" s="19" t="inlineStr">
        <is>
          <t>salary_record</t>
        </is>
      </c>
      <c r="B23" s="10" t="inlineStr">
        <is>
          <t>月度薪资记录表</t>
        </is>
      </c>
      <c r="C23" s="11" t="n">
        <v>0</v>
      </c>
      <c r="D23" s="11" t="inlineStr">
        <is>
          <t>已覆盖</t>
        </is>
      </c>
      <c r="E23" s="8" t="inlineStr">
        <is>
          <t>GET /api/salary-records/page；POST /api/salary-records/calculate；PUT /api/salary-records/${id}/review；PUT /api/salary-records/${id}/pay；GET /api/salary/payslips/my；GET /api/salary/payslips/${recordId}/items</t>
        </is>
      </c>
      <c r="F23" s="8" t="inlineStr">
        <is>
          <t>薪资核算 /salary/record；我的薪资条 /salary/payslip</t>
        </is>
      </c>
      <c r="G23" s="8" t="inlineStr">
        <is>
          <t>由上述接口直接供给</t>
        </is>
      </c>
    </row>
    <row r="24">
      <c r="A24" s="19" t="inlineStr">
        <is>
          <t>salary_item</t>
        </is>
      </c>
      <c r="B24" s="10" t="inlineStr">
        <is>
          <t>薪资明细项表</t>
        </is>
      </c>
      <c r="C24" s="11" t="n">
        <v>0</v>
      </c>
      <c r="D24" s="11" t="inlineStr">
        <is>
          <t>已覆盖</t>
        </is>
      </c>
      <c r="E24" s="8" t="inlineStr">
        <is>
          <t>GET /api/salary/payslips/${recordId}/items</t>
        </is>
      </c>
      <c r="F24" s="8" t="inlineStr">
        <is>
          <t>我的薪资条 /salary/payslip</t>
        </is>
      </c>
      <c r="G24" s="8" t="inlineStr">
        <is>
          <t>薪资明细随薪资条明细接口返回</t>
        </is>
      </c>
    </row>
    <row r="25">
      <c r="A25" s="19" t="inlineStr">
        <is>
          <t>insurance_record</t>
        </is>
      </c>
      <c r="B25" s="10" t="inlineStr">
        <is>
          <t>社保缴纳记录表</t>
        </is>
      </c>
      <c r="C25" s="11" t="n">
        <v>0</v>
      </c>
      <c r="D25" s="11" t="inlineStr">
        <is>
          <t>未覆盖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社保缴纳记录无独立接口；建议随社保管理页补 GET /api/insurance-records</t>
        </is>
      </c>
    </row>
    <row r="26">
      <c r="A26" s="19" t="inlineStr">
        <is>
          <t>leave_balance</t>
        </is>
      </c>
      <c r="B26" s="10" t="inlineStr">
        <is>
          <t>假期余额表</t>
        </is>
      </c>
      <c r="C26" s="11" t="n">
        <v>0</v>
      </c>
      <c r="D26" s="11" t="inlineStr">
        <is>
          <t>已覆盖</t>
        </is>
      </c>
      <c r="E26" s="8" t="inlineStr">
        <is>
          <t>POST /api/leave-requests；GET /api/leave-balances/my</t>
        </is>
      </c>
      <c r="F26" s="8" t="inlineStr">
        <is>
          <t>请假申请 /attendance/leave</t>
        </is>
      </c>
      <c r="G26" s="8" t="inlineStr">
        <is>
          <t>由上述接口直接供给</t>
        </is>
      </c>
    </row>
    <row r="27">
      <c r="A27" s="19" t="inlineStr">
        <is>
          <t>attendance_record</t>
        </is>
      </c>
      <c r="B27" s="10" t="inlineStr">
        <is>
          <t>考勤打卡记录表</t>
        </is>
      </c>
      <c r="C27" s="11" t="n">
        <v>0</v>
      </c>
      <c r="D27" s="11" t="inlineStr">
        <is>
          <t>已覆盖</t>
        </is>
      </c>
      <c r="E27" s="8" t="inlineStr">
        <is>
          <t>GET /api/attendance/today；POST /api/attendance/checkin；POST /api/attendance/checkout；GET /api/attendance/records；GET /api/dashboard/summary</t>
        </is>
      </c>
      <c r="F27" s="8" t="inlineStr">
        <is>
          <t>打卡签到 /attendance/checkin；考勤统计 /attendance/monthly；首页 /dashboard</t>
        </is>
      </c>
      <c r="G27" s="8" t="inlineStr">
        <is>
          <t>由上述接口直接供给</t>
        </is>
      </c>
    </row>
    <row r="28">
      <c r="A28" s="19" t="inlineStr">
        <is>
          <t>employee_schedule</t>
        </is>
      </c>
      <c r="B28" s="10" t="inlineStr">
        <is>
          <t>员工排班表</t>
        </is>
      </c>
      <c r="C28" s="11" t="n">
        <v>0</v>
      </c>
      <c r="D28" s="11" t="inlineStr">
        <is>
          <t>未覆盖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排班管理（F-04-05）建议补 GET/POST /api/employee-schedules 与排班页面</t>
        </is>
      </c>
    </row>
    <row r="29">
      <c r="A29" s="19" t="inlineStr">
        <is>
          <t>leave_request</t>
        </is>
      </c>
      <c r="B29" s="10" t="inlineStr">
        <is>
          <t>请假申请表</t>
        </is>
      </c>
      <c r="C29" s="11" t="n">
        <v>0</v>
      </c>
      <c r="D29" s="11" t="inlineStr">
        <is>
          <t>已覆盖</t>
        </is>
      </c>
      <c r="E29" s="8" t="inlineStr">
        <is>
          <t>GET /api/leave-requests/page；POST /api/leave-requests；PUT /api/leave-requests/${id}/approve</t>
        </is>
      </c>
      <c r="F29" s="8" t="inlineStr">
        <is>
          <t>请假申请 /attendance/leave</t>
        </is>
      </c>
      <c r="G29" s="8" t="inlineStr">
        <is>
          <t>由上述接口直接供给</t>
        </is>
      </c>
    </row>
    <row r="30">
      <c r="A30" s="19" t="inlineStr">
        <is>
          <t>overtime_request</t>
        </is>
      </c>
      <c r="B30" s="10" t="inlineStr">
        <is>
          <t>加班申请表</t>
        </is>
      </c>
      <c r="C30" s="11" t="n">
        <v>0</v>
      </c>
      <c r="D30" s="11" t="inlineStr">
        <is>
          <t>已覆盖</t>
        </is>
      </c>
      <c r="E30" s="8" t="inlineStr">
        <is>
          <t>GET /api/overtime-requests/page；POST /api/overtime-requests；PUT /api/overtime-requests/${id}/approve</t>
        </is>
      </c>
      <c r="F30" s="8" t="inlineStr">
        <is>
          <t>加班申请 /attendance/overtime</t>
        </is>
      </c>
      <c r="G30" s="8" t="inlineStr">
        <is>
          <t>由上述接口直接供给</t>
        </is>
      </c>
    </row>
    <row r="31">
      <c r="A31" s="19" t="inlineStr">
        <is>
          <t>business_trip</t>
        </is>
      </c>
      <c r="B31" s="10" t="inlineStr">
        <is>
          <t>出差申请表</t>
        </is>
      </c>
      <c r="C31" s="11" t="n">
        <v>0</v>
      </c>
      <c r="D31" s="11" t="inlineStr">
        <is>
          <t>已覆盖</t>
        </is>
      </c>
      <c r="E31" s="8" t="inlineStr">
        <is>
          <t>GET /api/business-trips/page；POST /api/business-trips；PUT /api/business-trips/${id}/approve</t>
        </is>
      </c>
      <c r="F31" s="8" t="inlineStr">
        <is>
          <t>出差管理 /attendance/trip</t>
        </is>
      </c>
      <c r="G31" s="8" t="inlineStr">
        <is>
          <t>由上述接口直接供给</t>
        </is>
      </c>
    </row>
    <row r="32">
      <c r="A32" s="19" t="inlineStr">
        <is>
          <t>attendance_month</t>
        </is>
      </c>
      <c r="B32" s="10" t="inlineStr">
        <is>
          <t>考勤月报表</t>
        </is>
      </c>
      <c r="C32" s="11" t="n">
        <v>0</v>
      </c>
      <c r="D32" s="11" t="inlineStr">
        <is>
          <t>已覆盖</t>
        </is>
      </c>
      <c r="E32" s="8" t="inlineStr">
        <is>
          <t>GET /api/attendance-months/page；PUT /api/attendance-months/${id}/lock；POST /api/salary-records/calculate</t>
        </is>
      </c>
      <c r="F32" s="8" t="inlineStr">
        <is>
          <t>考勤统计 /attendance/monthly；薪资核算 /salary/record</t>
        </is>
      </c>
      <c r="G32" s="8" t="inlineStr">
        <is>
          <t>由上述接口直接供给</t>
        </is>
      </c>
    </row>
    <row r="33">
      <c r="A33" s="19" t="inlineStr">
        <is>
          <t>trainer</t>
        </is>
      </c>
      <c r="B33" s="10" t="inlineStr">
        <is>
          <t>讲师表</t>
        </is>
      </c>
      <c r="C33" s="11" t="n">
        <v>0</v>
      </c>
      <c r="D33" s="11" t="inlineStr">
        <is>
          <t>未覆盖</t>
        </is>
      </c>
      <c r="E33" s="8" t="inlineStr">
        <is>
          <t>—</t>
        </is>
      </c>
      <c r="F33" s="8" t="inlineStr">
        <is>
          <t>—</t>
        </is>
      </c>
      <c r="G33" s="8" t="inlineStr">
        <is>
          <t>讲师表（training）无接口；mock 已备数据但未下发，建议补 GET/POST /api/trainers 或随培训计划返回</t>
        </is>
      </c>
    </row>
    <row r="34">
      <c r="A34" s="19" t="inlineStr">
        <is>
          <t>recruit_request</t>
        </is>
      </c>
      <c r="B34" s="10" t="inlineStr">
        <is>
          <t>招聘需求表</t>
        </is>
      </c>
      <c r="C34" s="11" t="n">
        <v>0</v>
      </c>
      <c r="D34" s="11" t="inlineStr">
        <is>
          <t>已覆盖</t>
        </is>
      </c>
      <c r="E34" s="8" t="inlineStr">
        <is>
          <t>GET /api/recruit-requests/page；POST /api/recruit-requests；PUT /api/recruit-requests/${id}/approve；GET /api/candidates/page；GET /api/offers/page</t>
        </is>
      </c>
      <c r="F34" s="8" t="inlineStr">
        <is>
          <t>招聘需求 /recruit/request；简历筛选 /recruit/candidate；录用审批 /recruit/offer</t>
        </is>
      </c>
      <c r="G34" s="8" t="inlineStr">
        <is>
          <t>由上述接口直接供给</t>
        </is>
      </c>
    </row>
    <row r="35">
      <c r="A35" s="19" t="inlineStr">
        <is>
          <t>job_posting</t>
        </is>
      </c>
      <c r="B35" s="10" t="inlineStr">
        <is>
          <t>职位发布表</t>
        </is>
      </c>
      <c r="C35" s="11" t="n">
        <v>0</v>
      </c>
      <c r="D35" s="11" t="inlineStr">
        <is>
          <t>未覆盖</t>
        </is>
      </c>
      <c r="E35" s="8" t="inlineStr">
        <is>
          <t>—</t>
        </is>
      </c>
      <c r="F35" s="8" t="inlineStr">
        <is>
          <t>—</t>
        </is>
      </c>
      <c r="G35" s="8" t="inlineStr">
        <is>
          <t>职位发布（F-06-02）建议补 GET/POST /api/job-postings，并与招聘需求联动</t>
        </is>
      </c>
    </row>
    <row r="36">
      <c r="A36" s="19" t="inlineStr">
        <is>
          <t>candidate</t>
        </is>
      </c>
      <c r="B36" s="10" t="inlineStr">
        <is>
          <t>候选人表</t>
        </is>
      </c>
      <c r="C36" s="11" t="n">
        <v>0</v>
      </c>
      <c r="D36" s="11" t="inlineStr">
        <is>
          <t>已覆盖</t>
        </is>
      </c>
      <c r="E36" s="8" t="inlineStr">
        <is>
          <t>GET /api/candidates/page；POST /api/candidates；PUT /api/candidates/${id}/stage；GET /api/interview-records；POST /api/interview-records；GET /api/offers/page；PUT /api/offers/${id}/status</t>
        </is>
      </c>
      <c r="F36" s="8" t="inlineStr">
        <is>
          <t>简历筛选 /recruit/candidate；录用审批 /recruit/offer</t>
        </is>
      </c>
      <c r="G36" s="8" t="inlineStr">
        <is>
          <t>由上述接口直接供给</t>
        </is>
      </c>
    </row>
    <row r="37">
      <c r="A37" s="19" t="inlineStr">
        <is>
          <t>interview_record</t>
        </is>
      </c>
      <c r="B37" s="10" t="inlineStr">
        <is>
          <t>面试记录表</t>
        </is>
      </c>
      <c r="C37" s="11" t="n">
        <v>0</v>
      </c>
      <c r="D37" s="11" t="inlineStr">
        <is>
          <t>已覆盖</t>
        </is>
      </c>
      <c r="E37" s="8" t="inlineStr">
        <is>
          <t>GET /api/interview-records；POST /api/interview-records</t>
        </is>
      </c>
      <c r="F37" s="8" t="inlineStr">
        <is>
          <t>简历筛选 /recruit/candidate</t>
        </is>
      </c>
      <c r="G37" s="8" t="inlineStr">
        <is>
          <t>由上述接口直接供给</t>
        </is>
      </c>
    </row>
    <row r="38">
      <c r="A38" s="19" t="inlineStr">
        <is>
          <t>offer_record</t>
        </is>
      </c>
      <c r="B38" s="10" t="inlineStr">
        <is>
          <t>录用通知表</t>
        </is>
      </c>
      <c r="C38" s="11" t="n">
        <v>0</v>
      </c>
      <c r="D38" s="11" t="inlineStr">
        <is>
          <t>已覆盖</t>
        </is>
      </c>
      <c r="E38" s="8" t="inlineStr">
        <is>
          <t>GET /api/offers/page；PUT /api/offers/${id}/send；PUT /api/offers/${id}/status</t>
        </is>
      </c>
      <c r="F38" s="8" t="inlineStr">
        <is>
          <t>录用审批 /recruit/offer</t>
        </is>
      </c>
      <c r="G38" s="8" t="inlineStr">
        <is>
          <t>由上述接口直接供给</t>
        </is>
      </c>
    </row>
    <row r="39">
      <c r="A39" s="19" t="inlineStr">
        <is>
          <t>training_plan</t>
        </is>
      </c>
      <c r="B39" s="10" t="inlineStr">
        <is>
          <t>培训计划表</t>
        </is>
      </c>
      <c r="C39" s="11" t="n">
        <v>0</v>
      </c>
      <c r="D39" s="11" t="inlineStr">
        <is>
          <t>已覆盖</t>
        </is>
      </c>
      <c r="E39" s="8" t="inlineStr">
        <is>
          <t>GET /api/training-plans/page；POST /api/training-plans；POST /api/training-plans/${id}/enroll；GET /api/training/my</t>
        </is>
      </c>
      <c r="F39" s="8" t="inlineStr">
        <is>
          <t>培训计划 /training/plan；我的培训 /training/my</t>
        </is>
      </c>
      <c r="G39" s="8" t="inlineStr">
        <is>
          <t>由上述接口直接供给</t>
        </is>
      </c>
    </row>
    <row r="40">
      <c r="A40" s="19" t="inlineStr">
        <is>
          <t>course</t>
        </is>
      </c>
      <c r="B40" s="10" t="inlineStr">
        <is>
          <t>课程表</t>
        </is>
      </c>
      <c r="C40" s="11" t="n">
        <v>0</v>
      </c>
      <c r="D40" s="11" t="inlineStr">
        <is>
          <t>已覆盖</t>
        </is>
      </c>
      <c r="E40" s="8" t="inlineStr">
        <is>
          <t>GET /api/training-plans/page；POST /api/training-plans/${id}/enroll</t>
        </is>
      </c>
      <c r="F40" s="8" t="inlineStr">
        <is>
          <t>培训计划 /training/plan</t>
        </is>
      </c>
      <c r="G40" s="8" t="inlineStr">
        <is>
          <t>课程随培训计划接口返回</t>
        </is>
      </c>
    </row>
    <row r="41">
      <c r="A41" s="19" t="inlineStr">
        <is>
          <t>training_enroll</t>
        </is>
      </c>
      <c r="B41" s="10" t="inlineStr">
        <is>
          <t>培训报名表</t>
        </is>
      </c>
      <c r="C41" s="11" t="n">
        <v>0</v>
      </c>
      <c r="D41" s="11" t="inlineStr">
        <is>
          <t>已覆盖</t>
        </is>
      </c>
      <c r="E41" s="8" t="inlineStr">
        <is>
          <t>GET /api/training-plans/page；POST /api/training-plans/${id}/enroll；GET /api/training/my</t>
        </is>
      </c>
      <c r="F41" s="8" t="inlineStr">
        <is>
          <t>培训计划 /training/plan；我的培训 /training/my</t>
        </is>
      </c>
      <c r="G41" s="8" t="inlineStr">
        <is>
          <t>由上述接口直接供给</t>
        </is>
      </c>
    </row>
    <row r="42">
      <c r="A42" s="19" t="inlineStr">
        <is>
          <t>training_record</t>
        </is>
      </c>
      <c r="B42" s="10" t="inlineStr">
        <is>
          <t>培训档案表</t>
        </is>
      </c>
      <c r="C42" s="11" t="n">
        <v>0</v>
      </c>
      <c r="D42" s="11" t="inlineStr">
        <is>
          <t>已覆盖</t>
        </is>
      </c>
      <c r="E42" s="8" t="inlineStr">
        <is>
          <t>GET /api/training/my</t>
        </is>
      </c>
      <c r="F42" s="8" t="inlineStr">
        <is>
          <t>我的培训 /training/my</t>
        </is>
      </c>
      <c r="G42" s="8" t="inlineStr">
        <is>
          <t>由上述接口直接供给</t>
        </is>
      </c>
    </row>
    <row r="43">
      <c r="A43" s="19" t="inlineStr">
        <is>
          <t>performance_plan</t>
        </is>
      </c>
      <c r="B43" s="10" t="inlineStr">
        <is>
          <t>考核方案表</t>
        </is>
      </c>
      <c r="C43" s="11" t="n">
        <v>0</v>
      </c>
      <c r="D43" s="11" t="inlineStr">
        <is>
          <t>已覆盖</t>
        </is>
      </c>
      <c r="E43" s="8" t="inlineStr">
        <is>
          <t>GET /api/performance-plans/page；POST /api/performance-plans；PUT /api/performance-plans/${id}/publish；GET /api/performance-records/page；PUT /api/performance-records/${id}/self-score；PUT /api/performance-records/${id}/leader-score</t>
        </is>
      </c>
      <c r="F43" s="8" t="inlineStr">
        <is>
          <t>考核方案 /performance/plan；绩效评分 /performance/record</t>
        </is>
      </c>
      <c r="G43" s="8" t="inlineStr">
        <is>
          <t>由上述接口直接供给</t>
        </is>
      </c>
    </row>
    <row r="44">
      <c r="A44" s="19" t="inlineStr">
        <is>
          <t>performance_indicator</t>
        </is>
      </c>
      <c r="B44" s="10" t="inlineStr">
        <is>
          <t>考核指标表</t>
        </is>
      </c>
      <c r="C44" s="11" t="n">
        <v>0</v>
      </c>
      <c r="D44" s="11" t="inlineStr">
        <is>
          <t>已覆盖</t>
        </is>
      </c>
      <c r="E44" s="8" t="inlineStr">
        <is>
          <t>GET /api/performance-plans/page</t>
        </is>
      </c>
      <c r="F44" s="8" t="inlineStr">
        <is>
          <t>考核方案 /performance/plan</t>
        </is>
      </c>
      <c r="G44" s="8" t="inlineStr">
        <is>
          <t>考核指标随考核方案接口返回；如需维护建议补 GET/POST /api/performance-indicators</t>
        </is>
      </c>
    </row>
    <row r="45">
      <c r="A45" s="19" t="inlineStr">
        <is>
          <t>performance_record</t>
        </is>
      </c>
      <c r="B45" s="10" t="inlineStr">
        <is>
          <t>绩效考核记录表</t>
        </is>
      </c>
      <c r="C45" s="11" t="n">
        <v>0</v>
      </c>
      <c r="D45" s="11" t="inlineStr">
        <is>
          <t>已覆盖</t>
        </is>
      </c>
      <c r="E45" s="8" t="inlineStr">
        <is>
          <t>GET /api/performance-plans/page；PUT /api/performance-plans/${id}/publish；GET /api/performance-records/page；PUT /api/performance-records/${id}/self-score；PUT /api/performance-records/${id}/leader-score；PUT /api/performance-records/${id}/confirm</t>
        </is>
      </c>
      <c r="F45" s="8" t="inlineStr">
        <is>
          <t>考核方案 /performance/plan；绩效评分 /performance/record</t>
        </is>
      </c>
      <c r="G45" s="8" t="inlineStr">
        <is>
          <t>由上述接口直接供给</t>
        </is>
      </c>
    </row>
    <row r="46">
      <c r="A46" s="19" t="inlineStr">
        <is>
          <t>performance_interview</t>
        </is>
      </c>
      <c r="B46" s="10" t="inlineStr">
        <is>
          <t>绩效面谈记录表</t>
        </is>
      </c>
      <c r="C46" s="11" t="n">
        <v>0</v>
      </c>
      <c r="D46" s="11" t="inlineStr">
        <is>
          <t>已覆盖</t>
        </is>
      </c>
      <c r="E46" s="8" t="inlineStr">
        <is>
          <t>PUT /api/performance-records/${id}/confirm</t>
        </is>
      </c>
      <c r="F46" s="8" t="inlineStr">
        <is>
          <t>绩效评分 /performance/record</t>
        </is>
      </c>
      <c r="G46" s="8" t="inlineStr">
        <is>
          <t>由上述接口直接供给</t>
        </is>
      </c>
    </row>
    <row r="47">
      <c r="A47" s="19" t="inlineStr">
        <is>
          <t>notice</t>
        </is>
      </c>
      <c r="B47" s="10" t="inlineStr">
        <is>
          <t>通知公告表</t>
        </is>
      </c>
      <c r="C47" s="11" t="n">
        <v>0</v>
      </c>
      <c r="D47" s="11" t="inlineStr">
        <is>
          <t>已覆盖</t>
        </is>
      </c>
      <c r="E47" s="8" t="inlineStr">
        <is>
          <t>GET /api/dashboard/notices；GET /api/notices/page；POST /api/notices；PUT /api/notices/${id}/publish；PUT /api/notices/${id}/offline</t>
        </is>
      </c>
      <c r="F47" s="8" t="inlineStr">
        <is>
          <t>首页 /dashboard；通知公告 /notices</t>
        </is>
      </c>
      <c r="G47" s="8" t="inlineStr">
        <is>
          <t>由上述接口直接供给</t>
        </is>
      </c>
    </row>
    <row r="48">
      <c r="A48" s="19" t="inlineStr">
        <is>
          <t>notice_read</t>
        </is>
      </c>
      <c r="B48" s="10" t="inlineStr">
        <is>
          <t>公告已读记录表</t>
        </is>
      </c>
      <c r="C48" s="11" t="n">
        <v>0</v>
      </c>
      <c r="D48" s="11" t="inlineStr">
        <is>
          <t>已覆盖</t>
        </is>
      </c>
      <c r="E48" s="8" t="inlineStr">
        <is>
          <t>GET /api/dashboard/notices；GET /api/notices/page</t>
        </is>
      </c>
      <c r="F48" s="8" t="inlineStr">
        <is>
          <t>首页 /dashboard；通知公告 /notices</t>
        </is>
      </c>
      <c r="G48" s="8" t="inlineStr">
        <is>
          <t>公告已读由 read_count / 已读记录联表返回，如需"已读/未读"标记建议补 GET /api/notices/{id}/reads</t>
        </is>
      </c>
    </row>
    <row r="49">
      <c r="A49" s="19" t="inlineStr">
        <is>
          <t>todo_task</t>
        </is>
      </c>
      <c r="B49" s="10" t="inlineStr">
        <is>
          <t>待办任务表</t>
        </is>
      </c>
      <c r="C49" s="11" t="n">
        <v>0</v>
      </c>
      <c r="D49" s="11" t="inlineStr">
        <is>
          <t>已覆盖</t>
        </is>
      </c>
      <c r="E49" s="8" t="inlineStr">
        <is>
          <t>POST /api/leave-requests；PUT /api/leave-requests/${id}/approve；POST /api/overtime-requests；POST /api/business-trips；GET /api/dashboard/summary；GET /api/dashboard/todos；PUT /api/dashboard/todos/${id}/handle</t>
        </is>
      </c>
      <c r="F49" s="8" t="inlineStr">
        <is>
          <t>请假申请 /attendance/leave；加班申请 /attendance/overtime；出差管理 /attendance/trip；首页 /dashboard</t>
        </is>
      </c>
      <c r="G49" s="8" t="inlineStr">
        <is>
          <t>由上述接口直接供给</t>
        </is>
      </c>
    </row>
    <row r="50">
      <c r="A50" s="19" t="inlineStr">
        <is>
          <t>approval_record</t>
        </is>
      </c>
      <c r="B50" s="10" t="inlineStr">
        <is>
          <t>通用审批记录表</t>
        </is>
      </c>
      <c r="C50" s="11" t="n">
        <v>0</v>
      </c>
      <c r="D50" s="11" t="inlineStr">
        <is>
          <t>已覆盖</t>
        </is>
      </c>
      <c r="E50" s="8" t="inlineStr">
        <is>
          <t>POST /api/leave-requests；PUT /api/leave-requests/${id}/approve；PUT /api/overtime-requests/${id}/approve；PUT /api/business-trips/${id}/approve；PUT /api/dashboard/todos/${id}/handle；PUT /api/recruit-requests/${id}/approve</t>
        </is>
      </c>
      <c r="F50" s="8" t="inlineStr">
        <is>
          <t>请假申请 /attendance/leave；加班申请 /attendance/overtime；出差管理 /attendance/trip；首页 /dashboard；招聘需求 /recruit/request</t>
        </is>
      </c>
      <c r="G50" s="8" t="inlineStr">
        <is>
          <t>由上述接口直接供给</t>
        </is>
      </c>
    </row>
  </sheetData>
  <autoFilter ref="A1:G50"/>
  <conditionalFormatting sqref="D2:D50">
    <cfRule type="cellIs" priority="1" operator="equal" dxfId="0">
      <formula>"已覆盖"</formula>
    </cfRule>
    <cfRule type="cellIs" priority="2" operator="equal" dxfId="2">
      <formula>"未覆盖"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A9A9A9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18" customWidth="1" min="4" max="4"/>
    <col width="68" customWidth="1" min="5" max="5"/>
    <col width="52" customWidth="1" min="6" max="6"/>
  </cols>
  <sheetData>
    <row r="1" ht="26" customHeight="1">
      <c r="A1" s="9" t="inlineStr">
        <is>
          <t>配置项</t>
        </is>
      </c>
      <c r="B1" s="9" t="inlineStr">
        <is>
          <t>类型</t>
        </is>
      </c>
      <c r="C1" s="9" t="inlineStr">
        <is>
          <t>规模</t>
        </is>
      </c>
      <c r="D1" s="9" t="inlineStr">
        <is>
          <t>是否允许留前端</t>
        </is>
      </c>
      <c r="E1" s="9" t="inlineStr">
        <is>
          <t>判定依据</t>
        </is>
      </c>
      <c r="F1" s="9" t="inlineStr">
        <is>
          <t>相关请求地址</t>
        </is>
      </c>
    </row>
    <row r="2">
      <c r="A2" s="8" t="inlineStr">
        <is>
          <t>src/dict/index.js</t>
        </is>
      </c>
      <c r="B2" s="11" t="inlineStr">
        <is>
          <t>业务字典</t>
        </is>
      </c>
      <c r="C2" s="8" t="inlineStr">
        <is>
          <t>49 组</t>
        </is>
      </c>
      <c r="D2" s="18" t="inlineStr">
        <is>
          <t>允许留在前端</t>
        </is>
      </c>
      <c r="E2" s="8" t="inlineStr">
        <is>
          <t>与 DB 字段 COMMENT 同源（commonStatus、gender、employeeStatus、employeeType、education、maritalStatus、politicalStatus、deptType…），枚举文案/标签色属展示层规则；后端接通后可改为 /api/sys/dict-types 下发与字典表对齐</t>
        </is>
      </c>
      <c r="F2" s="8" t="inlineStr">
        <is>
          <t>GET /api/sys/dict-types · GET /api/sys/dict-types/{id}/items（管理端已实现，业务页暂用本地字典）</t>
        </is>
      </c>
    </row>
    <row r="3">
      <c r="A3" s="8" t="inlineStr">
        <is>
          <t>src/settings.js</t>
        </is>
      </c>
      <c r="B3" s="11" t="inlineStr">
        <is>
          <t>系统常量</t>
        </is>
      </c>
      <c r="C3" s="8" t="inlineStr">
        <is>
          <t>演示账号 5 条 + 标题/预警天数</t>
        </is>
      </c>
      <c r="D3" s="18" t="inlineStr">
        <is>
          <t>允许留在前端</t>
        </is>
      </c>
      <c r="E3" s="8" t="inlineStr">
        <is>
          <t>标题为 UI 配置；演示账号仅 mock 通道使用；合同到期预警天数属展示层兜底（与 sys_config 同步）</t>
        </is>
      </c>
      <c r="F3" s="8" t="inlineStr">
        <is>
          <t>GET /api/sys/configs（管理端已实现）</t>
        </is>
      </c>
    </row>
    <row r="4">
      <c r="A4" s="8" t="inlineStr">
        <is>
          <t>src/utils/format.js</t>
        </is>
      </c>
      <c r="B4" s="11" t="inlineStr">
        <is>
          <t>展示层规则</t>
        </is>
      </c>
      <c r="C4" s="8" t="inlineStr">
        <is>
          <t>6 个函数</t>
        </is>
      </c>
      <c r="D4" s="18" t="inlineStr">
        <is>
          <t>允许留在前端</t>
        </is>
      </c>
      <c r="E4" s="8" t="inlineStr">
        <is>
          <t>金额千分位/日期格式/脱敏展示属展示层；数据层（mock 的 empVO 与后端 VO）已同步脱敏，避免仅靠前端遮蔽</t>
        </is>
      </c>
      <c r="F4" s="8" t="inlineStr">
        <is>
          <t>—（非数据来源）</t>
        </is>
      </c>
    </row>
    <row r="5">
      <c r="A5" s="8" t="inlineStr">
        <is>
          <t>src/router/routes.js</t>
        </is>
      </c>
      <c r="B5" s="11" t="inlineStr">
        <is>
          <t>路由/权限矩阵</t>
        </is>
      </c>
      <c r="C5" s="8" t="inlineStr">
        <is>
          <t>9 个模块</t>
        </is>
      </c>
      <c r="D5" s="18" t="inlineStr">
        <is>
          <t>允许留在前端</t>
        </is>
      </c>
      <c r="E5" s="8" t="inlineStr">
        <is>
          <t>路由与 meta.roles 与需求 2.5 权限矩阵一致；菜单权限表（sys_menu）本期由前端静态定义，后端菜单管理未对接</t>
        </is>
      </c>
      <c r="F5" s="8" t="inlineStr">
        <is>
          <t>—（建议后续对接 GET /api/sys/menus）</t>
        </is>
      </c>
    </row>
    <row r="6">
      <c r="A6" s="8" t="inlineStr">
        <is>
          <t>src/mock/db.js</t>
        </is>
      </c>
      <c r="B6" s="11" t="inlineStr">
        <is>
          <t>模拟数据</t>
        </is>
      </c>
      <c r="C6" s="8" t="inlineStr">
        <is>
          <t>49 张表映射数据集</t>
        </is>
      </c>
      <c r="D6" s="20" t="inlineStr">
        <is>
          <t>仅开发环境</t>
        </is>
      </c>
      <c r="E6" s="8" t="inlineStr">
        <is>
          <t>VITE_USE_MOCK=true 时生效；生产构建 .env.production 已置为 false，切换真实 API 无需改动业务代码</t>
        </is>
      </c>
      <c r="F6" s="8" t="inlineStr">
        <is>
          <t>全部 91 个请求地址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前端测试用例</dc:title>
  <dcterms:created xmlns:dcterms="http://purl.org/dc/terms/" xmlns:xsi="http://www.w3.org/2001/XMLSchema-instance" xsi:type="dcterms:W3CDTF">2026-09-15T06:58:29Z</dcterms:created>
  <dcterms:modified xmlns:dcterms="http://purl.org/dc/terms/" xmlns:xsi="http://www.w3.org/2001/XMLSchema-instance" xsi:type="dcterms:W3CDTF">2026-09-15T06:58:29Z</dcterms:modified>
</cp:coreProperties>
</file>